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kembangan Penduduk" sheetId="1" r:id="rId5"/>
    <sheet state="visible" name="Ekonomi Masyarakat" sheetId="2" r:id="rId6"/>
    <sheet state="visible" name="Pendapatan Per Kapita" sheetId="3" r:id="rId7"/>
    <sheet state="visible" name="Penguasaan Aset Ekonomi Masyara" sheetId="4" r:id="rId8"/>
    <sheet state="visible" name="Pendidikan Masyarakat" sheetId="5" r:id="rId9"/>
    <sheet state="visible" name="Kesehatan Masyarakat" sheetId="6" r:id="rId10"/>
    <sheet state="visible" name="Keamanan dan Ketertiban" sheetId="7" r:id="rId11"/>
    <sheet state="visible" name="Lembaga Kemasyarakatan" sheetId="8" r:id="rId12"/>
    <sheet state="visible" name="Pemerintahan Desa dan Kelurahan" sheetId="9" r:id="rId13"/>
    <sheet state="visible" name="DIAGRAM" sheetId="10" r:id="rId14"/>
  </sheets>
  <definedNames/>
  <calcPr/>
</workbook>
</file>

<file path=xl/sharedStrings.xml><?xml version="1.0" encoding="utf-8"?>
<sst xmlns="http://schemas.openxmlformats.org/spreadsheetml/2006/main" count="1182" uniqueCount="819">
  <si>
    <t>Jumlah Penduduk</t>
  </si>
  <si>
    <t>Aset Tanah</t>
  </si>
  <si>
    <t>Pengangguran</t>
  </si>
  <si>
    <t>Struktur Mata Pencaharian Menurut Sektor</t>
  </si>
  <si>
    <t>Aset Perumahan Rumah Menurut Dinding</t>
  </si>
  <si>
    <t>Sektor Pertanian</t>
  </si>
  <si>
    <t>Kesejahteraan Keluarga</t>
  </si>
  <si>
    <t>Petani</t>
  </si>
  <si>
    <t>Jumlah Keluarga</t>
  </si>
  <si>
    <t>Jumlah angkatan kerja (penduduk usia 18-56 tahun)</t>
  </si>
  <si>
    <t>Tidak memiliki tanah</t>
  </si>
  <si>
    <t>165 orang</t>
  </si>
  <si>
    <t>Buruh Tani</t>
  </si>
  <si>
    <t>33 orang</t>
  </si>
  <si>
    <t>1235 orang</t>
  </si>
  <si>
    <t>Pemilik Usaha Tani</t>
  </si>
  <si>
    <t>588 orang</t>
  </si>
  <si>
    <t>Tembok</t>
  </si>
  <si>
    <t>Jumlah</t>
  </si>
  <si>
    <t>30.726 orang</t>
  </si>
  <si>
    <t>4235 rumah</t>
  </si>
  <si>
    <t>Sektor Perkebunan</t>
  </si>
  <si>
    <t>Jumlah keluarga prasejahtera</t>
  </si>
  <si>
    <t>147 keluarga</t>
  </si>
  <si>
    <t>Memiliki tanah antara 0,1-0,2 ha</t>
  </si>
  <si>
    <t>Jumlah penduduk usia 18-56 tahun yang masih sekolah dan tidak bekerja</t>
  </si>
  <si>
    <t>3778 orang</t>
  </si>
  <si>
    <t>1.243 orang</t>
  </si>
  <si>
    <t>Kayu</t>
  </si>
  <si>
    <t>Karyawan Perusahaan Perkebunan</t>
  </si>
  <si>
    <t>Jumlah keluarga sejahtera 1</t>
  </si>
  <si>
    <t>3124 rumah</t>
  </si>
  <si>
    <t>820 keluarga</t>
  </si>
  <si>
    <t>Buruh perkebunan</t>
  </si>
  <si>
    <t>Jumlah penduduk usia 18-56 tahun yang menjadi ibu rumah tangga</t>
  </si>
  <si>
    <t>Memiliki tanah antara 0,21-0,3 ha</t>
  </si>
  <si>
    <t>Pemilik usaha Perkebunan</t>
  </si>
  <si>
    <t>1.031 orang</t>
  </si>
  <si>
    <t>2678 orang</t>
  </si>
  <si>
    <t>Jumlah keluarga sejahtera 2</t>
  </si>
  <si>
    <t>5.934 keluarga</t>
  </si>
  <si>
    <t>Sektor Peternakan</t>
  </si>
  <si>
    <t>Memiliki tanah antara 0,31-0,4 ha</t>
  </si>
  <si>
    <t>645 orang</t>
  </si>
  <si>
    <t>Jumlah penduduk usia 18-56 tahun yang bekerja penuh</t>
  </si>
  <si>
    <t>Rumah Menurut Lantai</t>
  </si>
  <si>
    <t>11.694 orang</t>
  </si>
  <si>
    <t>Jumlah keluarga sejahtera 3</t>
  </si>
  <si>
    <t>4.245 keluarga</t>
  </si>
  <si>
    <t>Peternakan Perorangan</t>
  </si>
  <si>
    <t>0 orang</t>
  </si>
  <si>
    <t>Jumlah penduduk usia 18-56 tahun yang bekerja tidak tentu</t>
  </si>
  <si>
    <t>Memiliki tanah antara 0,41-0,5 ha</t>
  </si>
  <si>
    <t>1.674 orang</t>
  </si>
  <si>
    <t>783 orang</t>
  </si>
  <si>
    <t>Buruh Usaha Peternakan</t>
  </si>
  <si>
    <t>Keramik</t>
  </si>
  <si>
    <t>Jenis Kelamin</t>
  </si>
  <si>
    <t>Jumlah keluarga sejahtera 3 plus</t>
  </si>
  <si>
    <t>233 rumah</t>
  </si>
  <si>
    <t>4.199 keluarga</t>
  </si>
  <si>
    <t>Memiliki tanah antara 0,51-0,6 ha</t>
  </si>
  <si>
    <t>Pemilik Usaha Peternakan</t>
  </si>
  <si>
    <t>323 orang</t>
  </si>
  <si>
    <t>Jumlah penduduk usia 18-56 tahun yang cacat dan tidak bekerja</t>
  </si>
  <si>
    <t>4 orang</t>
  </si>
  <si>
    <t>Semen</t>
  </si>
  <si>
    <t>69 orang</t>
  </si>
  <si>
    <t>160 rumah</t>
  </si>
  <si>
    <t>Total jumlah kepala keluarga</t>
  </si>
  <si>
    <t>Memiliki tanah antara 0,61-0,7 ha</t>
  </si>
  <si>
    <t>Sektor Perikanan</t>
  </si>
  <si>
    <t>15.345 keluarga</t>
  </si>
  <si>
    <t>123 orang</t>
  </si>
  <si>
    <t>104 rumah</t>
  </si>
  <si>
    <t>Jumlah penduduk usia 18-56 tahun yang cacat dan bekerja</t>
  </si>
  <si>
    <t>Memiliki tanah antara 0,71-0,8 ha</t>
  </si>
  <si>
    <t>104 orang</t>
  </si>
  <si>
    <t>155 orang</t>
  </si>
  <si>
    <t>Tanah</t>
  </si>
  <si>
    <t>6 rumah</t>
  </si>
  <si>
    <t>Memiliki tanah antara 0,81-0,9 ha</t>
  </si>
  <si>
    <t>Nelayan</t>
  </si>
  <si>
    <t>124 orang</t>
  </si>
  <si>
    <t>Memiliki tanah antara 0,91-1,0 ha</t>
  </si>
  <si>
    <t>20 orang</t>
  </si>
  <si>
    <t>Rumah Menurut Atap</t>
  </si>
  <si>
    <t>KK Laki-Laki</t>
  </si>
  <si>
    <t>Memiliki tanah antara 1,0 – 5,0 ha</t>
  </si>
  <si>
    <t>5 orang</t>
  </si>
  <si>
    <t>Genteng</t>
  </si>
  <si>
    <t>28 rumah</t>
  </si>
  <si>
    <t>Memiliki tanah antara 5,0 – 10 ha</t>
  </si>
  <si>
    <t>3 orang</t>
  </si>
  <si>
    <t>Seng</t>
  </si>
  <si>
    <t>439 rumah</t>
  </si>
  <si>
    <t>Memiliki tanah lebih dari 10 ha</t>
  </si>
  <si>
    <t>KK Perempuan</t>
  </si>
  <si>
    <t>35 orang</t>
  </si>
  <si>
    <t>1 orang</t>
  </si>
  <si>
    <t>Jumlah Total</t>
  </si>
  <si>
    <t>Buruh Usaha Perikanan</t>
  </si>
  <si>
    <t>Asbes</t>
  </si>
  <si>
    <t>365 orang</t>
  </si>
  <si>
    <t>9 rumah</t>
  </si>
  <si>
    <t>Pemilik Usaha Perikanan</t>
  </si>
  <si>
    <t>Jumlah total penduduk</t>
  </si>
  <si>
    <t>363 orang</t>
  </si>
  <si>
    <t>9873 orang</t>
  </si>
  <si>
    <t>Beton</t>
  </si>
  <si>
    <t>Sektor Kehutanan</t>
  </si>
  <si>
    <t>1 rumah</t>
  </si>
  <si>
    <t>Laki-Laki</t>
  </si>
  <si>
    <t>Bambu</t>
  </si>
  <si>
    <t>Perempuan</t>
  </si>
  <si>
    <t>Aset Sarana Transportasi Umum</t>
  </si>
  <si>
    <t>Jumlah penduduk tahun ini</t>
  </si>
  <si>
    <t>Pengumpul Hasil Hutan</t>
  </si>
  <si>
    <t>14.154 KK</t>
  </si>
  <si>
    <t>3.492 KK</t>
  </si>
  <si>
    <t>Buruh Usaha Pengolahan Hasil Hutan</t>
  </si>
  <si>
    <t>17.646 KK</t>
  </si>
  <si>
    <t>Pemilik Usaha Pengolahan Hasil Hutan</t>
  </si>
  <si>
    <t>18 orang</t>
  </si>
  <si>
    <t>4 rumah</t>
  </si>
  <si>
    <t>27.310 orang</t>
  </si>
  <si>
    <t>Sektor Pertambangan dan Bahan Galian C</t>
  </si>
  <si>
    <t>Memiliki ojek</t>
  </si>
  <si>
    <t>65 orang- 65 unit</t>
  </si>
  <si>
    <t>Daun lontar/gebang/enau</t>
  </si>
  <si>
    <t>17 rumah</t>
  </si>
  <si>
    <t>Penambang Galian C Perorangan</t>
  </si>
  <si>
    <t>2 orang</t>
  </si>
  <si>
    <t>Buruh Usaha Pertambangan</t>
  </si>
  <si>
    <t>25 orang</t>
  </si>
  <si>
    <t>25.788 orang</t>
  </si>
  <si>
    <t>Pemilik Usaha Pertambangan</t>
  </si>
  <si>
    <t>Jumlah penduduk tahun lalu</t>
  </si>
  <si>
    <t>13.550 KK</t>
  </si>
  <si>
    <t>3.810 KK</t>
  </si>
  <si>
    <t>Sektor Industri Menengah dan Besar</t>
  </si>
  <si>
    <t>17.360 KK</t>
  </si>
  <si>
    <t>26.931 orang</t>
  </si>
  <si>
    <t>25.455 orang</t>
  </si>
  <si>
    <t>Persentase perkembangan</t>
  </si>
  <si>
    <t>4,46 %</t>
  </si>
  <si>
    <t>- 8,35 %</t>
  </si>
  <si>
    <t>Karyawan perusahaan swasta</t>
  </si>
  <si>
    <t>8070 orang</t>
  </si>
  <si>
    <t>Sektor Perdagangan</t>
  </si>
  <si>
    <t>Karyawan Perdagangan Hasil Bumi</t>
  </si>
  <si>
    <t>Buruh Perdagangan Hasil Bumi</t>
  </si>
  <si>
    <t>21 orang</t>
  </si>
  <si>
    <t>Pengusaha Perdagangan Hasil Bumi</t>
  </si>
  <si>
    <t>Sektor Jasa</t>
  </si>
  <si>
    <t>Aset Sarana Produksi</t>
  </si>
  <si>
    <t>1,41 %</t>
  </si>
  <si>
    <t>1,31 %</t>
  </si>
  <si>
    <t>Pemilik usaha warung, rumah makan dan restoran</t>
  </si>
  <si>
    <t>53 orang</t>
  </si>
  <si>
    <t>Memiliki penggilingan padi</t>
  </si>
  <si>
    <t>Pegawai Negeri Sipil</t>
  </si>
  <si>
    <t>410 orang</t>
  </si>
  <si>
    <t>Memiliki traktor</t>
  </si>
  <si>
    <t>TNI</t>
  </si>
  <si>
    <t>338 orang</t>
  </si>
  <si>
    <t>POLRI</t>
  </si>
  <si>
    <t>Memiliki pabrik pengolahan hasil pertanian</t>
  </si>
  <si>
    <t>207 orang</t>
  </si>
  <si>
    <t>Dokter Swasta</t>
  </si>
  <si>
    <t>16 orang</t>
  </si>
  <si>
    <t>Memiliki kapal penangkap ikan</t>
  </si>
  <si>
    <t>Dosen Swasta</t>
  </si>
  <si>
    <t>32 orang</t>
  </si>
  <si>
    <t>19 orang</t>
  </si>
  <si>
    <t>Guru Swasta</t>
  </si>
  <si>
    <t>Memiliki alat pengolahan hasil perikanan</t>
  </si>
  <si>
    <t>328 orang</t>
  </si>
  <si>
    <t>12 orang</t>
  </si>
  <si>
    <t>Pensiunan TNI/POLRI</t>
  </si>
  <si>
    <t>86 orang</t>
  </si>
  <si>
    <t>Memiliki alat pengolahan hasil peternakan</t>
  </si>
  <si>
    <t>Pensiunan PNS</t>
  </si>
  <si>
    <t>14 orang</t>
  </si>
  <si>
    <t>130 orang</t>
  </si>
  <si>
    <t>Pengacara</t>
  </si>
  <si>
    <t>Memiliki alat pengolahan hasil perkebunan</t>
  </si>
  <si>
    <t>Notaris</t>
  </si>
  <si>
    <t>17 orang</t>
  </si>
  <si>
    <t>Seniman/artis</t>
  </si>
  <si>
    <t>Memiliki alat pengolahan hasil hutan</t>
  </si>
  <si>
    <t>7 orang</t>
  </si>
  <si>
    <t>Pembantu rumah tangga</t>
  </si>
  <si>
    <t>Memiliki alat produksi dan pengolah hasil pertambangan</t>
  </si>
  <si>
    <t>15 orang</t>
  </si>
  <si>
    <t>Sopir</t>
  </si>
  <si>
    <t>221 orang</t>
  </si>
  <si>
    <t>Memiliki alat produksi dan pengolah hasil pariwisata</t>
  </si>
  <si>
    <t>Tidak mempunyai mata pencaharian tetap</t>
  </si>
  <si>
    <t>6.049 orang</t>
  </si>
  <si>
    <t>Memiliki alat produksi dan pengolah hasil industri jasa perdagangan</t>
  </si>
  <si>
    <t>Memiliki alat produksi dan pengolah hasil industri kerajinan keluarga skala kecil dan menengah</t>
  </si>
  <si>
    <t>Memiliki alat produksi dan pengolahan hasil industri migas</t>
  </si>
  <si>
    <t>91 orang</t>
  </si>
  <si>
    <t>Tingkat Pendidikan Penduduk</t>
  </si>
  <si>
    <t>Kualitas Ibu Hamil</t>
  </si>
  <si>
    <t>Wajib belajar 9 tahun</t>
  </si>
  <si>
    <t>Jumlah penduduk buta aksara dan huruf latin</t>
  </si>
  <si>
    <t>Perkembangan Pasangan Usia Subur dan KB</t>
  </si>
  <si>
    <t>Jumlah penduduk usia 7-15 tahun</t>
  </si>
  <si>
    <t>8.592 orang</t>
  </si>
  <si>
    <t>Jumlah penduduk usia 3-6 tahun yang masuk TK dan Kelompok Bermain Anak</t>
  </si>
  <si>
    <t>Status Gizi Balita</t>
  </si>
  <si>
    <t>4.066 orang</t>
  </si>
  <si>
    <t>Jumlah penduduk usia 7-15 tahun yang masih sekolah</t>
  </si>
  <si>
    <t>8.567 orang</t>
  </si>
  <si>
    <t>Jumlah anak dan penduduk cacat fisik dan mental</t>
  </si>
  <si>
    <t>Jumlah penduduk usia 7-15 tahun yang tidak sekolah</t>
  </si>
  <si>
    <t>Jumlah ibu hamil</t>
  </si>
  <si>
    <t>Jumlah penduduk sedang SD/sederajat</t>
  </si>
  <si>
    <t>6.233 orang</t>
  </si>
  <si>
    <t>1.736 orang</t>
  </si>
  <si>
    <t>Pasangan Usia Subur</t>
  </si>
  <si>
    <t>Jumlah penduduk tamat SD/sederajat</t>
  </si>
  <si>
    <t>6.225 orang</t>
  </si>
  <si>
    <t>Rasio Guru dan Murid</t>
  </si>
  <si>
    <t>Jumlah Balita</t>
  </si>
  <si>
    <t>Jumlah penduduk tidak tamat SD/sederajat</t>
  </si>
  <si>
    <t>7.857 orang</t>
  </si>
  <si>
    <t>Jumlah ibu hamil periksa di Posyandu</t>
  </si>
  <si>
    <t>Jumlah guru TK dan kelompok bermain anak</t>
  </si>
  <si>
    <t>977 orang</t>
  </si>
  <si>
    <t>45 orang</t>
  </si>
  <si>
    <t>Jumlah remaja putri usia 10 – 19 tahun</t>
  </si>
  <si>
    <t>Jumlah penduduk sedang SLTP/sederajat</t>
  </si>
  <si>
    <t>5.606 orang</t>
  </si>
  <si>
    <t>4551 orang</t>
  </si>
  <si>
    <t>Jumlah siswa TK dan kelompok bermain anak</t>
  </si>
  <si>
    <t>Jumlah Balita bergizi buruk</t>
  </si>
  <si>
    <t>650 orang</t>
  </si>
  <si>
    <t>Jumlah penduduk tamat SLTP/sederajat</t>
  </si>
  <si>
    <t>Jumlah ibu hamil periksa di Puskesmas</t>
  </si>
  <si>
    <t>5.793 orang</t>
  </si>
  <si>
    <t>Konflik SARA</t>
  </si>
  <si>
    <t>456 orang</t>
  </si>
  <si>
    <t>Jumlah guru SD dan sederajat</t>
  </si>
  <si>
    <t>Jumlah perempuan usia subur 15 – 49 tahun</t>
  </si>
  <si>
    <t>75 orang</t>
  </si>
  <si>
    <t>14639 orang</t>
  </si>
  <si>
    <t>Jumlah penduduk sedang SLTA/sederajat</t>
  </si>
  <si>
    <t>Jumlah Balita bergizi baik</t>
  </si>
  <si>
    <t>13.867 orang</t>
  </si>
  <si>
    <t>Jumlah siswa SD dan sederajat</t>
  </si>
  <si>
    <t>Jumlah ibu hamil periksa di Rumah Sakit</t>
  </si>
  <si>
    <t>Pemakaian Miras dan Narkoba</t>
  </si>
  <si>
    <t>239 orang</t>
  </si>
  <si>
    <t>Jumlah penduduk tidak tamat SLTP/Sederajat</t>
  </si>
  <si>
    <t>Jumlah wanita kawin muda usia kurang dari 16 tahun</t>
  </si>
  <si>
    <t>724 orang</t>
  </si>
  <si>
    <t>Jumlah guru SLTP dan sederajat</t>
  </si>
  <si>
    <t>Jumlah Balita bergizi kurang</t>
  </si>
  <si>
    <t>Kekerasan Dalam Rumah Tangga</t>
  </si>
  <si>
    <t>Jumlah penduduk tamat SLTA/Sederajat</t>
  </si>
  <si>
    <t>Jumlah ibu hamil periksa di Dokter Praktek</t>
  </si>
  <si>
    <t>14.765 orang</t>
  </si>
  <si>
    <t>122 orang</t>
  </si>
  <si>
    <t>Jumlah siswa SLTP dan sederajat</t>
  </si>
  <si>
    <t>Jumlah pasangan usia subur</t>
  </si>
  <si>
    <t>8873 pasangan</t>
  </si>
  <si>
    <t>Jumlah penduduk sedang D-1</t>
  </si>
  <si>
    <t>Jumlah Balita bergizi lebih</t>
  </si>
  <si>
    <t>Kasus konflik pada tahun ini</t>
  </si>
  <si>
    <t>Jumlah guru SLTA/sederajat</t>
  </si>
  <si>
    <t>0 kasus</t>
  </si>
  <si>
    <t>Jumlah ibu hamil periksa di Bidan Praktek</t>
  </si>
  <si>
    <t>Jumlah warung/toko yang menyediakan Miras</t>
  </si>
  <si>
    <t>532 orang</t>
  </si>
  <si>
    <t>Jumlah penduduk tamat D-1</t>
  </si>
  <si>
    <t>0 buah</t>
  </si>
  <si>
    <t>Keluarga Berencana</t>
  </si>
  <si>
    <t>120 orang</t>
  </si>
  <si>
    <t>Jumlah kasus kekerasan suami terhadap istri</t>
  </si>
  <si>
    <t>Jumlah siswa SLTA/sederajat</t>
  </si>
  <si>
    <t>2.400 orang</t>
  </si>
  <si>
    <t>Jumlah penduduk sedang D-2</t>
  </si>
  <si>
    <t>Kasus konflik SARA pada tahun ini</t>
  </si>
  <si>
    <t>Jumlah ibu hamil periksa di Dukun Terlatih</t>
  </si>
  <si>
    <t>Jumlah siswa SLB</t>
  </si>
  <si>
    <t>Jumlah penduduk yang mengkonsumsi Miras</t>
  </si>
  <si>
    <t>Jumlah akseptor KB</t>
  </si>
  <si>
    <t>Jumlah kasus kekerasan istri terhadap suami</t>
  </si>
  <si>
    <t>Jumlah penduduk tamat D-2</t>
  </si>
  <si>
    <t>Perkembangan Sarana dan Prasarana Kesehatan Masyarakat</t>
  </si>
  <si>
    <t>Jumlah kasus pertengkaran dan atau perkelahian antar tetangga</t>
  </si>
  <si>
    <t>Jumlah guru SLB</t>
  </si>
  <si>
    <t>Jumlah kasus mabuk akibat Miras</t>
  </si>
  <si>
    <t>Jumlah kematian ibu hamil</t>
  </si>
  <si>
    <t>Jumlah penduduk sedang D-3</t>
  </si>
  <si>
    <t>Jumlah kasus kekerasan orang tua terhadap anak</t>
  </si>
  <si>
    <t>Jumlah pengguna alat kontrasepsi suntik</t>
  </si>
  <si>
    <t>Jumlah MCK Umum</t>
  </si>
  <si>
    <t>Jumlah penduduk tamat D-3</t>
  </si>
  <si>
    <t>Jumlah kasus pertengkaran dan atau perkelahian antar RT/RW</t>
  </si>
  <si>
    <t>1.109 orang</t>
  </si>
  <si>
    <t>Jumlah ibu hamil melahirkan</t>
  </si>
  <si>
    <t>Jumlah pengedar Narkoba</t>
  </si>
  <si>
    <t>Kelembagaan Pendidikan Masyarakat</t>
  </si>
  <si>
    <t>3.123 orang</t>
  </si>
  <si>
    <t>Jumlah pengguna metode kontrasepsi spiral</t>
  </si>
  <si>
    <t>Jumlah kasus kekerasan anak terhadap orang tua</t>
  </si>
  <si>
    <t>Jumlah Posyandu</t>
  </si>
  <si>
    <t>Jumlah konflik antar masyarakat pendatang dengan penduduk asli</t>
  </si>
  <si>
    <t>Jumlah ibu nifas</t>
  </si>
  <si>
    <t>Jumlah penduduk yang mengkonsumsi Narkoba</t>
  </si>
  <si>
    <t>Jumlah pengguna alat kontrasepsi kondom</t>
  </si>
  <si>
    <t>Lembaga Kemasyarakatan Desa/Kelurahan</t>
  </si>
  <si>
    <t>Jumlah penduduk sedang S-1</t>
  </si>
  <si>
    <t>Jumlah kader Posyandu aktif</t>
  </si>
  <si>
    <t>Jumlah kasus kekerasan kepala keluarga terhadap anggota keluarga lainnya</t>
  </si>
  <si>
    <t>Jumlah kematian ibu nifas</t>
  </si>
  <si>
    <t>Jumlah perpustakaan desa/kelurahan</t>
  </si>
  <si>
    <t>Jumlah pengguna metode kontrasepsi pil</t>
  </si>
  <si>
    <t>1 unit</t>
  </si>
  <si>
    <t>Jumlah kasus antar kelompok masyarakat dalam desa/kelurahan dengan kelompok masyarakat dari desa/kelurahan lain</t>
  </si>
  <si>
    <t>Jumlah pembina Posyandu</t>
  </si>
  <si>
    <t>Jumlah penduduk tamat S-1</t>
  </si>
  <si>
    <t>Jumlah kasus mabuk/teler akibat Narkoba</t>
  </si>
  <si>
    <t>Jumlah ibu nifas hidup</t>
  </si>
  <si>
    <t>2.666 orang</t>
  </si>
  <si>
    <t>Keberadaan organisasi Lembaga Kemasyarakatan Desa dan Kelurahan/LKD/LK</t>
  </si>
  <si>
    <t>Jumlah taman bacaan desa/kelurahan</t>
  </si>
  <si>
    <t>Jumlah pengguna metode vasektomi</t>
  </si>
  <si>
    <t>Jumlah konflik antara masyarakat dengan pemerintah</t>
  </si>
  <si>
    <t>2 unit</t>
  </si>
  <si>
    <t>Tidak</t>
  </si>
  <si>
    <t>Jumlah Dasawisma</t>
  </si>
  <si>
    <t>Jumlah penduduk sedang S-2</t>
  </si>
  <si>
    <t>Jumlah kegiatan</t>
  </si>
  <si>
    <t>Jumlah kasus kematian akibat Narkoba</t>
  </si>
  <si>
    <t>Jumlah pengguna metode kontrasepsi tubektomi</t>
  </si>
  <si>
    <t>Jenis</t>
  </si>
  <si>
    <t>Jumlah perpustakaan keliling</t>
  </si>
  <si>
    <t>Jumlah pengurus Dasa Wisma aktif</t>
  </si>
  <si>
    <t>Teror dan Intimidasi</t>
  </si>
  <si>
    <t>0 unit</t>
  </si>
  <si>
    <t>Kualitas Bayi</t>
  </si>
  <si>
    <t>Jumlah penduduk tamat S-2</t>
  </si>
  <si>
    <t>100 orang</t>
  </si>
  <si>
    <t>Jumlah sanggar belajar</t>
  </si>
  <si>
    <t>LPMD/LPMK ATAU SEBUTAN LAIN</t>
  </si>
  <si>
    <t>Jumlah pengguna metode KB Kelender/KB Alamiah</t>
  </si>
  <si>
    <t>Ada</t>
  </si>
  <si>
    <t>Jumlah penduduk tamat S-3</t>
  </si>
  <si>
    <t>Jumlah kader bina keluarga balita aktif</t>
  </si>
  <si>
    <t>Kepengurusan</t>
  </si>
  <si>
    <t>Aktif/tidak</t>
  </si>
  <si>
    <t>Jumlah keguguran kandungan</t>
  </si>
  <si>
    <t>Jumlah kegiatan lembaga pendidikan luar sekolah</t>
  </si>
  <si>
    <t>Buku Administrasi</t>
  </si>
  <si>
    <t>0 kegiatan</t>
  </si>
  <si>
    <t>Jumlah pengguna metode KB obat tradisional</t>
  </si>
  <si>
    <t>Jumlah kerugian material akibat konflik antara masyarakat dan pemerintah</t>
  </si>
  <si>
    <t>Jumlah petugas lapangan keluarga berencana aktif</t>
  </si>
  <si>
    <t>Jumlah penduduk sedang SLB A</t>
  </si>
  <si>
    <t>3 Jenis</t>
  </si>
  <si>
    <t>Jumlah bayi lahir</t>
  </si>
  <si>
    <t>836 orang</t>
  </si>
  <si>
    <t>PKK</t>
  </si>
  <si>
    <t>Jumlah kelompok belajar Paket A</t>
  </si>
  <si>
    <t>Jumlah pengguna alat kontrasepsi metode xxx</t>
  </si>
  <si>
    <t>-</t>
  </si>
  <si>
    <t>0 kelompok</t>
  </si>
  <si>
    <t>Buku rencana kegiatan Posyandu</t>
  </si>
  <si>
    <t>Jumlah penduduk tamat SLB A</t>
  </si>
  <si>
    <t>Jumlah bayi lahir mati</t>
  </si>
  <si>
    <t>Jumlah PUS yang tidak menggunakan metode KB</t>
  </si>
  <si>
    <t>Jumlah peserta ujian Paket A</t>
  </si>
  <si>
    <t>Buku data pengunjung Posyandu</t>
  </si>
  <si>
    <t>4 Jenis</t>
  </si>
  <si>
    <t>Jumlah bayi lahir hidup</t>
  </si>
  <si>
    <t>Jumlah penduduk sedang SLB B</t>
  </si>
  <si>
    <t>RUKUN TETANGGA</t>
  </si>
  <si>
    <t>Buku kegiatan pelayanan Posyandu</t>
  </si>
  <si>
    <t>Jumlah kelompok belajar Paket B</t>
  </si>
  <si>
    <t>Jumlah bayi mati usia 0 – 1 bulan</t>
  </si>
  <si>
    <t>Wabah Penyakit</t>
  </si>
  <si>
    <t>1 Jenis</t>
  </si>
  <si>
    <t>Jumlah penduduk tamat SLB B</t>
  </si>
  <si>
    <t>KARANG TARUNA</t>
  </si>
  <si>
    <t>Buku administrasi Posyandu lainnya</t>
  </si>
  <si>
    <t>Jumlah Peserta ujian Paket B</t>
  </si>
  <si>
    <t>39 orang</t>
  </si>
  <si>
    <t>Jumlah bayi mati usia 1 – 12 bulan</t>
  </si>
  <si>
    <t>Jumlah penduduk sedang SLB C</t>
  </si>
  <si>
    <t>DBD</t>
  </si>
  <si>
    <t>Jumlah kegiatan Posyandu</t>
  </si>
  <si>
    <t>Jumlah pelaku Miras yang diadili atau diproses secara hukum</t>
  </si>
  <si>
    <t>Jumlah kelompok belajar Paket C</t>
  </si>
  <si>
    <t>Jumlah bayi lahir berat kurang dari 2,5 kg</t>
  </si>
  <si>
    <t>KELOMPOK TANI/NELAYAN</t>
  </si>
  <si>
    <t>Jumlah kasus intimidasi dan atau teror anggota masyarakat dari pihak dalam desa dan kelurahan</t>
  </si>
  <si>
    <t>ISPA</t>
  </si>
  <si>
    <t>Jumlah penduduk tamat SLB C</t>
  </si>
  <si>
    <t>Jumlah kader kesehatan lainnya</t>
  </si>
  <si>
    <t>Jumlah korban jiwa akibat konflik antara masyarakat dengan pemerintah</t>
  </si>
  <si>
    <t>Jumlah peserta ujian Paket C</t>
  </si>
  <si>
    <t>Jumlah bayi 0-5 tahun hidup yang menderita kelainan organ tubuh, fisik dan mental</t>
  </si>
  <si>
    <t>Jumlah pelaku Narkoba yang diadili atau diproses secara hukum</t>
  </si>
  <si>
    <t>Diare</t>
  </si>
  <si>
    <t>Jumlah penduduk cacat fisik dan mental</t>
  </si>
  <si>
    <t>Jumlah kegiatan pengobatan gratis</t>
  </si>
  <si>
    <t>Jumlah kasus intimidasi dan atau teror anggota masyarakat dari pihak luar desa atau kelurahan</t>
  </si>
  <si>
    <t>ORGANISASI PEREMPUAN LAIN</t>
  </si>
  <si>
    <t>Jumlah lembaga kursus keterampilan</t>
  </si>
  <si>
    <t>Demam Tifoid</t>
  </si>
  <si>
    <t>Jumlah konflik antara masyarakat dengan perusahaan</t>
  </si>
  <si>
    <t>Jumlah kegiatan pemberantasan sarang nyamuk/PSN</t>
  </si>
  <si>
    <t>Jumlah kasus selebaran gelap dan atau isu yang bersifat teror dan ancaman untuk menimbulkan ketakutan penduduk</t>
  </si>
  <si>
    <t>Jumlah peserta kursus keterampilan</t>
  </si>
  <si>
    <t>Kualitas Persalinan</t>
  </si>
  <si>
    <t>115 orang</t>
  </si>
  <si>
    <t>Jumlah korban jiwa akibat konflik antara masyarakat dengan perusahaan</t>
  </si>
  <si>
    <t>8 Jenis</t>
  </si>
  <si>
    <t>Prostitusi</t>
  </si>
  <si>
    <t>Pneumonia</t>
  </si>
  <si>
    <t>Jumlah kegiatan pembersihan lingkungan</t>
  </si>
  <si>
    <t>Tempat Persalinan</t>
  </si>
  <si>
    <t>Jumlah kasus terorisme yang terjadi di desa dan kelurahan tahun ini</t>
  </si>
  <si>
    <t>Malaria</t>
  </si>
  <si>
    <t>Jumlah penduduk pekerja pramu nikmat</t>
  </si>
  <si>
    <t>Tempat persalinan Rumah Sakit Umum</t>
  </si>
  <si>
    <t>Jumlah kasus hasutan dan pemaksaan kehendak kelompok tertentu kepada masyarakat</t>
  </si>
  <si>
    <t>Kusta</t>
  </si>
  <si>
    <t>Jumlah konflik politik antara masyarakat dengan lembaga politik</t>
  </si>
  <si>
    <t>Tempat persalinan Rumah Bersalin</t>
  </si>
  <si>
    <t>Lokalisasi prostitusi</t>
  </si>
  <si>
    <t>Tidak Ada</t>
  </si>
  <si>
    <t>Jumlah penyelesaian kasus teror dan intimidasi serta hasutan di masyarakat baik secara adat maupun hukum formal</t>
  </si>
  <si>
    <t>Tempat persalinan Puskesmas</t>
  </si>
  <si>
    <t>Cakupan pemenuhan kebutuhan air bersih</t>
  </si>
  <si>
    <t>Jumlah korban jiwa akibat konflik politik antara masyarakat dengan lembaga politik</t>
  </si>
  <si>
    <t>Jumlah tempat yang menyediakan wanita pramunikmat secara terselubung (warung remang-remang, panti pijat, hotel, dll)</t>
  </si>
  <si>
    <t>Tempat persalinan Polindes</t>
  </si>
  <si>
    <t>Jumlah kerugian material akibat konflik politik antara masyarakat dengan lembaga politik</t>
  </si>
  <si>
    <t>Jumlah kasus/konflik akibat maraknya praktek prostitusi</t>
  </si>
  <si>
    <t>Jumlah keluarga menggunakan sumur gali</t>
  </si>
  <si>
    <t>10000 keluarga</t>
  </si>
  <si>
    <t>Pelembagaan Sistem Keamanan Lingkungan Semesta</t>
  </si>
  <si>
    <t>Tempat persalinan Balai Kesehatan Ibu Anak</t>
  </si>
  <si>
    <t>Jumlah keluarga pelanggan PAM</t>
  </si>
  <si>
    <t>5000 keluarga</t>
  </si>
  <si>
    <t>Tempat persalinan rumah praktek bidan</t>
  </si>
  <si>
    <t>20 unit</t>
  </si>
  <si>
    <t>Jumlah prasarana dan sarana yang rusak/terbakar akibat konflik Sara</t>
  </si>
  <si>
    <t>Jumlah keluarga menggunakan Penampung Air Hujan</t>
  </si>
  <si>
    <t>7500 keluarga</t>
  </si>
  <si>
    <t>Tempat praktek dokter</t>
  </si>
  <si>
    <t>Jumlah pembinaan pelaku prostitusi</t>
  </si>
  <si>
    <t>Jumlah keluarga menggunakan sumur pompa</t>
  </si>
  <si>
    <t>0 kali</t>
  </si>
  <si>
    <t>Organisasi Siskamling</t>
  </si>
  <si>
    <t>Rumah dukun</t>
  </si>
  <si>
    <t>Jumlah keluarga menggunakan perpipaan air kran</t>
  </si>
  <si>
    <t>Jumlah rumah penduduk yang rusak/terbakar akibat konflik Sara</t>
  </si>
  <si>
    <t>0 rumah</t>
  </si>
  <si>
    <t>Rumah sendiri</t>
  </si>
  <si>
    <t>Jumlah penertiban penyediaan tempat prostitusi</t>
  </si>
  <si>
    <t>Jumlah keluarga menggunakan hidran umum</t>
  </si>
  <si>
    <t>Organisasi Pertahanan Sipil dan Perlindungan Masyarakat</t>
  </si>
  <si>
    <t>10 keluarga</t>
  </si>
  <si>
    <t>Pertolongan Persalinan</t>
  </si>
  <si>
    <t>Jumlah korban luka akibat konflik Sara</t>
  </si>
  <si>
    <t>Jumlah RT atau sebutan lainnya yang ada Siskamlimg/Pos Ronda</t>
  </si>
  <si>
    <t>100 RT</t>
  </si>
  <si>
    <t>Jumlah keluarga menggunakan air sungai</t>
  </si>
  <si>
    <t>Jumlah korban meninggal akibat konflik Sara</t>
  </si>
  <si>
    <t>100 keluarga</t>
  </si>
  <si>
    <t>Pembunuhan</t>
  </si>
  <si>
    <t>Jumlah Persalinan ditolong Dokter</t>
  </si>
  <si>
    <t>45 tindakan</t>
  </si>
  <si>
    <t>Jumlah keluarga menggunakan embung</t>
  </si>
  <si>
    <t>0 keluarga</t>
  </si>
  <si>
    <t>Jumlah persalinan ditolong bidan</t>
  </si>
  <si>
    <t>Jumlah anggota Hansip dan Linmas</t>
  </si>
  <si>
    <t>108 tindakan</t>
  </si>
  <si>
    <t>200 orang</t>
  </si>
  <si>
    <t>Jumlah keluarga yang menggunakan mata air</t>
  </si>
  <si>
    <t>Jumlah janda akibat konflik Sara</t>
  </si>
  <si>
    <t>Jumlah kasus pembunuhan pada tahun ini</t>
  </si>
  <si>
    <t>Jumlah persalinan ditolong perawat</t>
  </si>
  <si>
    <t>Jadwal kegiatan Siskamling dan Pos Ronda</t>
  </si>
  <si>
    <t>67 tindakan</t>
  </si>
  <si>
    <t>Jumlah keluarga yang tidak mendapatkan akses air minum dari air laut</t>
  </si>
  <si>
    <t>Jumlah anak yatim akibat konflik Sara</t>
  </si>
  <si>
    <t>Jumlah persalinan ditolong dukun bersalin</t>
  </si>
  <si>
    <t>Jumlah kasus pembunuhan dengan korban penduduk Desa/Kelurahan setempat</t>
  </si>
  <si>
    <t>13 tindakan</t>
  </si>
  <si>
    <t>Jumlah keluarga yang tidak mendapatkan akses air minum dari sumber di atas</t>
  </si>
  <si>
    <t>Buku anggota Hansip dan Linmas</t>
  </si>
  <si>
    <t>Jumlah persalinan ditolong keluarga</t>
  </si>
  <si>
    <t>1 jenis</t>
  </si>
  <si>
    <t>2 tindakan</t>
  </si>
  <si>
    <t>Jumlah pelaku konflik yang diadili atau diproses secara hukum</t>
  </si>
  <si>
    <t>Perilaku hidup bersih dan sehat</t>
  </si>
  <si>
    <t>Jumlah kasus pembunuhan dengan pelaku penduduk setempat</t>
  </si>
  <si>
    <t>Jumlah kelompok Satuan Pengamanan (SATPAM) swasta</t>
  </si>
  <si>
    <t>Cakupan Imunisasi</t>
  </si>
  <si>
    <t>Jumlah kasus bunuh diri</t>
  </si>
  <si>
    <t>Kebiasaan buang air besar</t>
  </si>
  <si>
    <t>Jumlah pembinaan Siskamling oleh Pengurus dan Kades/Lurah</t>
  </si>
  <si>
    <t>1 Kegiatan</t>
  </si>
  <si>
    <t>Jumlah Bayi usia 2 bulan</t>
  </si>
  <si>
    <t>Perkelahian</t>
  </si>
  <si>
    <t>768 bayi</t>
  </si>
  <si>
    <t>Jumlah keluarga memiliki WC yang sehat</t>
  </si>
  <si>
    <t>Jumlah bayi 2 bulan Imunisasi DPT-1, BCG dan Polio -1</t>
  </si>
  <si>
    <t>1949 bayi</t>
  </si>
  <si>
    <t>Jumlah Kasus Yang Diproses secara hukum</t>
  </si>
  <si>
    <t>Jumlah keluarga memiliki WC yang kurang memenuhi standar kesehatan</t>
  </si>
  <si>
    <t>Jumlah Pos Jaga Induk Desa/Kelurahan</t>
  </si>
  <si>
    <t>Jumlah bayi usia 3 bulan</t>
  </si>
  <si>
    <t>100 Pos</t>
  </si>
  <si>
    <t>Jumlah keluarga biasa buang air besar di sungai/parit/kebun/hutan</t>
  </si>
  <si>
    <t>Kasus perkelahian yang terjadi pada tahun ini</t>
  </si>
  <si>
    <t>Jumlah bayi 3 bulan yang imunisasi DPT-2 dan Polio-2</t>
  </si>
  <si>
    <t>1265 bayi</t>
  </si>
  <si>
    <t>Jumlah keluarga yang menggunakan fasilitas MCK umum</t>
  </si>
  <si>
    <t>Kasus perkelahian yang menimbulkan korban jiwa</t>
  </si>
  <si>
    <t>Jumlah bayi usia 4 bulan</t>
  </si>
  <si>
    <t>Penculikan</t>
  </si>
  <si>
    <t>Pola Makan</t>
  </si>
  <si>
    <t>Jumlah bayi 4 bulan yang imunisasi DPT-3 dan Polio-3</t>
  </si>
  <si>
    <t>1264 bayi</t>
  </si>
  <si>
    <t>Kebiasaan penduduk makan dlm sehari 1 kali</t>
  </si>
  <si>
    <t>Kasus perkelahian yang menimbulkan luka parah</t>
  </si>
  <si>
    <t>Jumlah bayi 9 bulan</t>
  </si>
  <si>
    <t>Jumlah kasus penculikan</t>
  </si>
  <si>
    <t>Kebiasaan penduduk makan sehari 2 kali</t>
  </si>
  <si>
    <t>Jumlah bayi 9 bulan yang imunisasi campak</t>
  </si>
  <si>
    <t>610 bayi</t>
  </si>
  <si>
    <t>Kasus perkelahian yang menimbulkan kerugian material</t>
  </si>
  <si>
    <t>Kebiasaan penduduk makan sehari 3 kali</t>
  </si>
  <si>
    <t>Jumlah bayi yang sudah imunisasi cacar</t>
  </si>
  <si>
    <t>Jumlah kasus penculikan dengan korban penduduk Desa/Kelurahan setempat</t>
  </si>
  <si>
    <t>Kebiasaan penduduk makan sehari lebih dari 3 kali</t>
  </si>
  <si>
    <t>Penduduk yang belum tentu sehari makan 1 kali</t>
  </si>
  <si>
    <t>Jumlah kasus penculikan dengan pelaku penduduk setempat</t>
  </si>
  <si>
    <t>Kebiasaan berobat bila sakit</t>
  </si>
  <si>
    <t>Jumlah kasus penculikan yang diselesaikan secara hukum</t>
  </si>
  <si>
    <t>Dukun Terlatih</t>
  </si>
  <si>
    <t>Pencurian</t>
  </si>
  <si>
    <t>Dokter/puskesmas/mantri kesehatan/perawat/bidan/posyandu</t>
  </si>
  <si>
    <t>Obat tradisional dari dukun pengobatan alternatif</t>
  </si>
  <si>
    <t>Paranormal</t>
  </si>
  <si>
    <t>Obat tradisional dari keluarga sendiri</t>
  </si>
  <si>
    <t>Kasus pencurian dan perampokan yang terjadi tahun ini</t>
  </si>
  <si>
    <t>Tidak diobati</t>
  </si>
  <si>
    <t>Kejahatan Seksual</t>
  </si>
  <si>
    <t>Kasus pencurian/perampokan yang korbannya penduduk Desa/Kelurahan setempat</t>
  </si>
  <si>
    <t>Jumlah kasus perkosaan pada tahun ini</t>
  </si>
  <si>
    <t>Kasus pencurian/perampokan yang pelakunya penduduk Desa/Kelurahan setempat</t>
  </si>
  <si>
    <t>Jumlah kasus perkosaan anak pada tahun ini</t>
  </si>
  <si>
    <t>Jumlah pencurian dengan kekerasan senjata api</t>
  </si>
  <si>
    <t>Jumlah kasus kehamilan di luar nikah menurut hukum negara</t>
  </si>
  <si>
    <t>Jumlah pelaku yang diadili atau diproses secara hukum</t>
  </si>
  <si>
    <t>Jumlah kasus kehamilan di luar nikah menurut hukum adat</t>
  </si>
  <si>
    <t>Jumlah tempat penampungan/persewaan kamar bagi pekerja seks</t>
  </si>
  <si>
    <t>Penjarahan dan Penyerobotan Tanah</t>
  </si>
  <si>
    <t>Jumlah kasus penjarahan dan penyerobotan tanah yang korban dan pelakunya penduduk setempat</t>
  </si>
  <si>
    <t>Masalah Kesejahteraan Sosial</t>
  </si>
  <si>
    <t>Jumlah kasus penjarahan dan penyerobotan tanah yang korban penduduk setempat tetapi pelakunya bukan penduduk setempat</t>
  </si>
  <si>
    <t>Jumlah gelandangan</t>
  </si>
  <si>
    <t>Jumlah kasus penjarahan dan penyerobotan tanah yang korban bukan penduduk setempat tetapi pelakunya penduduk setempat</t>
  </si>
  <si>
    <t>Jumlah pengemis jalanan</t>
  </si>
  <si>
    <t>Jumlah anak jalanan dan terlantar</t>
  </si>
  <si>
    <t>Jumlah manusia lanjut usia terlantar</t>
  </si>
  <si>
    <t>Perjudian, Penipuan dan Penggelapan</t>
  </si>
  <si>
    <t>Jumlah orang gila/stress/cacat mental</t>
  </si>
  <si>
    <t>Jumlah penduduk yang memiliki kebiasaan berjudi</t>
  </si>
  <si>
    <t>Jumlah orang cacat fisik</t>
  </si>
  <si>
    <t>Jenis perjudian yang ada di Desa/Kelurahan ini</t>
  </si>
  <si>
    <t>Jumlah orang kelainan kulit</t>
  </si>
  <si>
    <t>Jumlah kasus penipuan dan atau penggelapan</t>
  </si>
  <si>
    <t>Jumlah orang yang tidur di kolong jembatan/emperan</t>
  </si>
  <si>
    <t>Jumlah kasus sengketa warisan, jual beli dan utang piutang</t>
  </si>
  <si>
    <t>Jumlah rumah dan kawasan kumuh</t>
  </si>
  <si>
    <t>Jumlah panti jompo</t>
  </si>
  <si>
    <t>Jumlah panti asuhan anak</t>
  </si>
  <si>
    <t>Jumlah rumah singgah anak jalanan</t>
  </si>
  <si>
    <t>Jumlah penghuni jalur hijau dan taman kota</t>
  </si>
  <si>
    <t>Jumlah penghuni bantaran sungai</t>
  </si>
  <si>
    <t>Jumlah penghuni pinggiran rel kereta api</t>
  </si>
  <si>
    <t>Jumlah penghuni liar di lahan dan fasilitas umum lainnya</t>
  </si>
  <si>
    <t>Jumlah anggota kelompok masyarakat/suku/keluarga terasing, terisolir, terlantar dan primitif</t>
  </si>
  <si>
    <t>Jumlah anak yatim usia 0–18 tahun</t>
  </si>
  <si>
    <t>Jumlah anak piatu 0 - 18 tahun</t>
  </si>
  <si>
    <t>Jumlah anak yatim piatu 0–18 tahun</t>
  </si>
  <si>
    <t>Jumlah janda</t>
  </si>
  <si>
    <t>Jumlah duda</t>
  </si>
  <si>
    <t>Jumlah anak, remaja, preman dan pengangguran</t>
  </si>
  <si>
    <t>Jumlah anak usia 7-12 tahun yang tidak sekolah di SD/sederajat</t>
  </si>
  <si>
    <t>Jumlah anak usia 13-15 tahun yang tidak sekolah di SLTP/sederajat</t>
  </si>
  <si>
    <t>Jumlah anak usia 15-18 tahun yang tidak sekolah di SLTA/sederajat</t>
  </si>
  <si>
    <t>APB-Desa dan Anggaran Kelurahan</t>
  </si>
  <si>
    <t>Jumlah anak yang bekerja membantu keluarga menghasilkan uang</t>
  </si>
  <si>
    <t>Jumlah perempuan yang menjadi kepala keluarga</t>
  </si>
  <si>
    <t>Jumlah penduduk eks NAPI</t>
  </si>
  <si>
    <t>Pembinaan dan Pengawasan</t>
  </si>
  <si>
    <t>Jumlah penduduk tinggal di daerah rawan bencana banjir</t>
  </si>
  <si>
    <t>Jumlah penduduk tinggal di daerah rawan bencana gunung berapi</t>
  </si>
  <si>
    <t>Pembinaan dan Pengawasan Camat kepada Desa/Kelurahan</t>
  </si>
  <si>
    <t>Jumlah penduduk tinggal di daerah rawan bencana tsunami</t>
  </si>
  <si>
    <t>Jumlah penduduk tinggal di daerah rawan bencana gempa bumi</t>
  </si>
  <si>
    <t>Jumlah penduduk tinggal di daerah rawan bencana kebakaran rumah</t>
  </si>
  <si>
    <t>Jumlah anggaran belanja dan penerimaan Desa/Kelurahan tahun ini</t>
  </si>
  <si>
    <t>Jumlah penduduk tinggal di daerah rawan bencana kekekeringan</t>
  </si>
  <si>
    <t>Jenis Pembinaan Pemerintah Pusat kepada Pemerintahan Desa dan Kelurahan</t>
  </si>
  <si>
    <t>Jumlah penduduk tinggal di daerah rawan bencana tanah longsor</t>
  </si>
  <si>
    <t>Jumlah penduduk tinggal di daerah rawan bencana kebakaran hutan</t>
  </si>
  <si>
    <t>Jumlah Kegiatan fasilitasi penyusunan peraturan desa dan peraturan kepala desa</t>
  </si>
  <si>
    <t>1 kali</t>
  </si>
  <si>
    <t>Jumlah penduduk rawan bencana kelaparan</t>
  </si>
  <si>
    <t>Sumber Anggaran</t>
  </si>
  <si>
    <t>Jumlah penduduk tinggal di daerah rawan air bersih</t>
  </si>
  <si>
    <t>Pedoman dan standar pelaksanaan urusan pemerintahan desa, kelurahan, lembaga kemasyarakatan</t>
  </si>
  <si>
    <t>Jumlah Kegiatan fasilitasi administrasi tata pemerintahan desa dan kelurahan</t>
  </si>
  <si>
    <t>Jumlah penduduk tinggal di daerah lahan kritis dan tandus</t>
  </si>
  <si>
    <t>APBD Kabupaten/Kota</t>
  </si>
  <si>
    <t>Jumlah penduduk tinggal di kawasan padat penduduk dan kumuh</t>
  </si>
  <si>
    <t>Pedoman dan standar bantuan pembiayaan dari pemerintah, pemerintah provinsi dan kabupaten/kota kepada desa dan kelurahan</t>
  </si>
  <si>
    <t>Fasilitasi pengelolaan keuangan desa dan pendayagunaan aset desa serta anggaran kelurahan</t>
  </si>
  <si>
    <t>Jumlah warga pendatang yang tidak memiliki keterangan penduduk</t>
  </si>
  <si>
    <t>Bantuan Pemerintah Kabupaten/Kota</t>
  </si>
  <si>
    <t>Pedoman umum administrasi, tata naskah dan pelaporan bagi kepala desa dan lurah</t>
  </si>
  <si>
    <t>Jumlah warga pendatang dan atau pekerja musiman</t>
  </si>
  <si>
    <t>Jumlah kegiatan fasilitasi pelaksanaan urusan otonomi daerah kabupaten/kota yang diserahkan kepada desa</t>
  </si>
  <si>
    <t>Bantuan Pemerintah Provinsi</t>
  </si>
  <si>
    <t>Pedoman dan standar tanda jabatan, pakaian dinas dan atribut bagi Kepala Desa, Lurah dan PerangkatDesa/Kelurahan serta BPD</t>
  </si>
  <si>
    <t>Fasilitasi penerapan dan penegakan peraturan perundang- undangan</t>
  </si>
  <si>
    <t>Bantuan Pemerintah Pusat</t>
  </si>
  <si>
    <t>Pedoman pendidikan dan pelatihan bagi pemerintahan desa, kelurahan, lembaga kemasyarakatan dan perangkat masing-masing</t>
  </si>
  <si>
    <t>Fasilitasi penyediaan data dan pendayagunaan data profil desa dan kelurahan</t>
  </si>
  <si>
    <t>Pendapatan Asli Desa</t>
  </si>
  <si>
    <t>Jumlah bimbingan, supervisi dan konsultasi pelaksanaan pemerintahan desa dan kelurahan serta pemberdayaan lembaga kemasyarakatan</t>
  </si>
  <si>
    <t>2 Kegiatan</t>
  </si>
  <si>
    <t>Jumlah kegiatan fasilitasi pelaksanaan tugas, wewenang, fungsi, hak dan kewajiban kepala desa, BPD, Lurah dan lembaga kemasyarakatan</t>
  </si>
  <si>
    <t>Swadaya Masyarakat Desa dan Kelurahan</t>
  </si>
  <si>
    <t>Jumlah kegiatan pendidikan dan pelatihan tentang penyelenggaraan pemerintahan desa dan kelurahan</t>
  </si>
  <si>
    <t>3 Kegiatan</t>
  </si>
  <si>
    <t>Jumlah kegiatan fasilitasi upaya penyelenggaraan ketenteraman dan ketertiban umum</t>
  </si>
  <si>
    <t>Alokasi Dana Desa</t>
  </si>
  <si>
    <t>Penelitian dan pengkajian penyelenggaraan pemerintahan desa dan kelurahan</t>
  </si>
  <si>
    <t>Fasilitasi penataan, penguatan dan efektivitas pelaksanaan tugas, fungsi dan kewajiban lembaga kemasyarakatan desa dan kelurahan</t>
  </si>
  <si>
    <t>Sumber Pendapatan dari Perusahaan yang ada di desa/kelurahan</t>
  </si>
  <si>
    <t>Jumlah kegiatan yang terkait dengan upaya percepatan atau akselerasi pembangunan desa dan kelurahan dalam bidang ekonomi keluarga, penanganan bencana, penanggulangan kemiskinan, percepatan keberdayaan masyarakat, peningkatan prasarana dan sarana pedesaan/kelurahan, pemanfaatan sumber daya alam dan teknologi tepat guna, pengembangan sosial budaya masyarakat di desa dan kelurahan yang dibiayai APBN</t>
  </si>
  <si>
    <t>4 jenis</t>
  </si>
  <si>
    <t>Jumlah kegiatan fasilitasi partisipasi masyarakat dalam perencanaan, pelaksanaan, pemanfaatan dan pemeliharaan serta pengembangan dan pelestarian hasil pembangunan.</t>
  </si>
  <si>
    <t>Sumber pendapatan lain yang sah dan tidak mengikat</t>
  </si>
  <si>
    <t>Pemberian penghargaan atas prestasi yang dilaksanakan pemerintahan desa dan kelurahan dalam penyelenggaraan pemerintahan dan lembaga kemasyarakatan</t>
  </si>
  <si>
    <t>2 kali</t>
  </si>
  <si>
    <t>Fasilitasi kerjasama antar desa/kelurahan dan kerjasama desa/kelurahan dengan pihak ketiga</t>
  </si>
  <si>
    <t>Jumlah Belanja Publik/belanja pembangunan</t>
  </si>
  <si>
    <t>Pemberian sanksi atas penyimpangan yang dilakukan kepala desa, lurah dan perangkat masing-masing</t>
  </si>
  <si>
    <t>Jumlah kegiatan fasilitasi pelaksanaan program dan kegiatan pemberdayaan masyarakat</t>
  </si>
  <si>
    <t>Jumlah Belanja Aparatur/pegawai</t>
  </si>
  <si>
    <t>Jumlah kegiatan pemeliharaan motivasi bagi desa dan kelurahan juara perlombaan dan pasca perlombaan</t>
  </si>
  <si>
    <t>Pembinaan Pemerintah Provinsi kepada Pemerintahan Desa dan Kelurahan</t>
  </si>
  <si>
    <t>Jumlah kegiatan fasilitasi kerjasama antar lembaga kemasyarakatan dan lembaga kemasyarakatan dengan organisasi anggota lembaga kemasyarakatan serta dengan pihak ketiga sebagai mitra percepatan keberdayaan masyarakat</t>
  </si>
  <si>
    <t>Pertanggungjawaban Kepala Desa/Lurah</t>
  </si>
  <si>
    <t>Pedoman pelaksanaan tugas pembantuan dari provinsi ke desa/kelurahan</t>
  </si>
  <si>
    <t>Jumlah kegiatan fasilitasi bantuan teknis dan pendampingan kepada lembaga kemasyarakatan dan organisasi anggotanya</t>
  </si>
  <si>
    <t>Penyampaian laporan keterangan pertanggungan jawab Kepala Desa kepada BPD</t>
  </si>
  <si>
    <t>Pedoman bantuan keuangan dari provinsi</t>
  </si>
  <si>
    <t>Jumlah kegiatan koordinasi unit kerja pemerintahan dalam pengembangan lembaga kemasyarakatan desa/kelurahan.</t>
  </si>
  <si>
    <t>Jumlah informasi yang disampaikan kepala desa dan lurah tentang laporan penyelenggaraan tugas, wewenang, hak dan kewajiban kepala desa dan lurah kepada masyarakat</t>
  </si>
  <si>
    <t>2 jenis</t>
  </si>
  <si>
    <t>Kegiatan fasilitasi keberadaan kesatuan masyarakat hukum adat, nilai adat istiadat dan lembaga adat beserta hak dan kewajibannya dalam pelaksanaan pemerintahan desa/kelurahan</t>
  </si>
  <si>
    <t>Status laporan keterangan pertanggungjawaban kepala Desa</t>
  </si>
  <si>
    <t>Fasilitasi Pelaksanaan pedoman administrasi, tata naskah dan pelaporan bagi kepala desa dan lurah</t>
  </si>
  <si>
    <t>Laporan kinerja penyelenggaraan tugas, wewenang, kewajiban dan hak kepala desa dan lurah kepada Bupati/Walikota</t>
  </si>
  <si>
    <t>Jumlah kegiatan pendidikan dan pelatihan tentang penyelenggaraan pemerintahan desa dan kelurahan berskala provinsi</t>
  </si>
  <si>
    <t>Jumlah jenis media informasi kinerja kepala desa dan lurah kepada masyarakat</t>
  </si>
  <si>
    <t>0 jenis</t>
  </si>
  <si>
    <t>Kegiatan penanggulangan kemiskinan yang dibiayai APBD Provinsi yang masuk desa dan kelurahan</t>
  </si>
  <si>
    <t>Jumlah kasus pengaduan masyarakat terhadap masalah pembangunan, pelayanan dan pembinaan kemasyarakatan yang disampaikan kepada kepala desa/lurah</t>
  </si>
  <si>
    <t>Kegiatan penanganan bencana yang dibiayai APBD Provinsi untuk desa dan kelurahan</t>
  </si>
  <si>
    <t>Jumlah kasus pengaduan masyarakat terhadap masalah pembangunan, pelayanan dan pembinaan kemasyarakatan yang diselesaikan kepala desa/lurah</t>
  </si>
  <si>
    <t>Kegiatan peningkatan pendapatan keluarga yang dibiayai APBD Provinsi di desa dan kelurahan</t>
  </si>
  <si>
    <t>Kegiatan penyediaan sarana dan prasarana desa dan kelurahan yang dibiayai APBD Provinsi yang masuk desa dan kelurahan</t>
  </si>
  <si>
    <t>Prasarana Dan Administrasi Pemerintahan Desa/Kelurahan</t>
  </si>
  <si>
    <t>Kegiatan pemanfaatan sumber daya alam dan pengembangan teknologi tepat guna yang dibiayai APBD Provinsi di desa dan kelurahan</t>
  </si>
  <si>
    <t>PEMERINTAH DESA/KELURAHAN</t>
  </si>
  <si>
    <t>Kegiatan pengembangan sosial budaya masyarakat Pedoman pendataan dan pendayagunaan data profil desa dan kelurahan</t>
  </si>
  <si>
    <t>Gedung Kantor</t>
  </si>
  <si>
    <t>Ruang Pelayanan</t>
  </si>
  <si>
    <t>1 ruang</t>
  </si>
  <si>
    <t>Internet</t>
  </si>
  <si>
    <t>Pembinaan Pemerintah Kabupaten/Kota kepada Pemerintahan Desa dan Kelurahan</t>
  </si>
  <si>
    <t>A. Inventaris dan Alat tulis kantor</t>
  </si>
  <si>
    <t>Pelimpahan tugas Bupati/Walikota kepada Lurah dan Kepala Desa</t>
  </si>
  <si>
    <t>Laptop</t>
  </si>
  <si>
    <t>Penetapan pengaturan kewenangan kabupaten/kota yang diserahkan pengaturannya kepada desa</t>
  </si>
  <si>
    <t>Meja</t>
  </si>
  <si>
    <t>14 buah</t>
  </si>
  <si>
    <t>Pedoman pelaksanaan tugas pembantuan dari kabupaten/kota kepada desa</t>
  </si>
  <si>
    <t>Kursi</t>
  </si>
  <si>
    <t>80 buah</t>
  </si>
  <si>
    <t>Pedoman teknis penyusunan peraturan desa, peraturan kepala desa, keputusan Lurah dan peraturan daerah kepada kepala desa dan lurah.</t>
  </si>
  <si>
    <t>Lemari</t>
  </si>
  <si>
    <t>5 buah</t>
  </si>
  <si>
    <t>Pedoman teknis penyusunan perencanaan pembangunan partisipatif serta pengembangan lembaga kemasyarakatan desa dan kelurahan</t>
  </si>
  <si>
    <t>Komputer</t>
  </si>
  <si>
    <t>8 unit</t>
  </si>
  <si>
    <t>Printer</t>
  </si>
  <si>
    <t>5 unit</t>
  </si>
  <si>
    <t>Penetapan pembiayaan alokasi dana perimbangan untuk desa</t>
  </si>
  <si>
    <t>Kendaraan Dinas Lurah/Kepala Desa</t>
  </si>
  <si>
    <t>TV</t>
  </si>
  <si>
    <t>Jumlah kegiatan pendidikan dan pelatihan tentang penyelenggaraan pemerintahan desa dan kelurahan berskala kabupaten/kota</t>
  </si>
  <si>
    <t>Smart Projector</t>
  </si>
  <si>
    <t>Kegiatan penanggulangan kemiskinan yang dibiayai APBD kabupaten/kota yang masuk desa dan kelurahan</t>
  </si>
  <si>
    <t>Sound System</t>
  </si>
  <si>
    <t>Kegiatan penanganan bencana yang dibiayai APBD kabupaten/kota untuk desa dan kelurahan</t>
  </si>
  <si>
    <t>CCTV</t>
  </si>
  <si>
    <t>Kegiatan peningkatan pendapatan keluarga yang dibiayai APBD kabupaten/kota di desa dan kelurahan</t>
  </si>
  <si>
    <t>Papan Informasi</t>
  </si>
  <si>
    <t>Fasilitasi penetapan pedoman dan standar tanda jabatan, pakaian dinas dan atribut bagi Kepala Desa, Lurah, Perangkat Desa/Kelurahan dan BPD</t>
  </si>
  <si>
    <t>Pedoman pendataan dan pendayagunaan profil desa dan kelurahan</t>
  </si>
  <si>
    <t>B. Administrasi Pemerintahan Desa/Kelurahan</t>
  </si>
  <si>
    <t>Program dan kegiatan pemeliharaan motivasi desa/kelurahan berprestasi pascaperlombaan desa dan kelurahan</t>
  </si>
  <si>
    <t>Buku Data Peraturan Desa</t>
  </si>
  <si>
    <t>Pemberian penghargaan atas prestasi yang dicapai pemerintahan desa dan kelurahan dalam penyelenggaraan pemerintahan dan pemberdayaan lembaga kemasyarakatan</t>
  </si>
  <si>
    <t>Buku Keputusan Kepala Desa/Lurah</t>
  </si>
  <si>
    <t>Buku Administrasi Kependudukan</t>
  </si>
  <si>
    <t>Mengawasi pengelolaan keuangan desa serta anggaran kelurahan dan pendayagunaan aset pemerintahan desa, badan usaha milik desa dan sumber pendapatan daerah yang dikelola lurah</t>
  </si>
  <si>
    <t>Buku Data Inventaris</t>
  </si>
  <si>
    <t>Buku Data Aparat</t>
  </si>
  <si>
    <t>Buku Data Tanah Kas Desa</t>
  </si>
  <si>
    <t>Buku Administrasi Pajak dan Retribusi</t>
  </si>
  <si>
    <t>Buku Data Tanah</t>
  </si>
  <si>
    <t>Buku Laporan Pengaduan Masyarakat</t>
  </si>
  <si>
    <t>Buku Agenda Ekspedisi</t>
  </si>
  <si>
    <t>Buku Profil Desa dan Kelurahan</t>
  </si>
  <si>
    <t>Buku Data Induk Penduduk</t>
  </si>
  <si>
    <t>Buku Data Mutasi Penduduk</t>
  </si>
  <si>
    <t>Buku Rekapitulasi Penduduk Akhir Bulan</t>
  </si>
  <si>
    <t>Buku Registrasi Pelayanan Penduduk</t>
  </si>
  <si>
    <t>Buku Data Penduduk Sementara</t>
  </si>
  <si>
    <t>Buku Anggaran Penerimaan</t>
  </si>
  <si>
    <t>Buku Anggaran Pengeluaran Pegawai/Pembangunan</t>
  </si>
  <si>
    <t>Buku Kas Umum</t>
  </si>
  <si>
    <t>Buku Kas Pembantu Penerimaan</t>
  </si>
  <si>
    <t>Buku Kas Pembantu Pengeluaran Rutin/Pembangunan</t>
  </si>
  <si>
    <t>Buku Data Lembaga Kemasyarakatan</t>
  </si>
  <si>
    <t>PRASARANA DAN SARANA BADAN PERMUSYAWARATAN DESA/BPD</t>
  </si>
  <si>
    <t>Jumlah ruang kerja</t>
  </si>
  <si>
    <t>Balai BPD</t>
  </si>
  <si>
    <t>Listrik</t>
  </si>
  <si>
    <t>Air Bersih</t>
  </si>
  <si>
    <t>Telepon</t>
  </si>
  <si>
    <t>2. A. Inventaris dan Alat tulis kantor</t>
  </si>
  <si>
    <t>Jumlah mesin tik</t>
  </si>
  <si>
    <t>Jumlah meja</t>
  </si>
  <si>
    <t>Jumlah kursi</t>
  </si>
  <si>
    <t>Jumlah almari arsip</t>
  </si>
  <si>
    <t>Mesin fax</t>
  </si>
  <si>
    <t>2. B. Administrasi BPD</t>
  </si>
  <si>
    <t>Buku-buku administrasi kegiatan BPD</t>
  </si>
  <si>
    <t>Buku Buku Administrasi Keanggotaan</t>
  </si>
  <si>
    <t>Buku kegiatan BPD</t>
  </si>
  <si>
    <t>Buku himpunan peraturan desa</t>
  </si>
  <si>
    <t>Buku Lainnya</t>
  </si>
  <si>
    <t>PRASARANA DAN SARANA DUSUN/LINGKUNGAN/SEBUTAN LAIN</t>
  </si>
  <si>
    <t>Gedung kantor atau Balai Pertemuan</t>
  </si>
  <si>
    <t>Alat tulis kantor</t>
  </si>
  <si>
    <t>Barang inventaris</t>
  </si>
  <si>
    <t>Buku administrasi</t>
  </si>
  <si>
    <t>Jenis kegiatan</t>
  </si>
  <si>
    <t>Jumlah pengurus</t>
  </si>
  <si>
    <t>Tingkat Pendidikan</t>
  </si>
  <si>
    <t>Jumlah Orang</t>
  </si>
  <si>
    <t>PENDUDUK BERDASARKAN STATUS PERKAWINAN</t>
  </si>
  <si>
    <t>DATA PENDUDUK BERDASARKAN KELOMPOK USIA</t>
  </si>
  <si>
    <t>Tidak/Belum Sekolah</t>
  </si>
  <si>
    <t>Status Perkawinan</t>
  </si>
  <si>
    <t>Kelompok Usia</t>
  </si>
  <si>
    <t>Laki-laki (L)</t>
  </si>
  <si>
    <t>Perempuan (P)</t>
  </si>
  <si>
    <t>Total</t>
  </si>
  <si>
    <t>Belum Tamat SD</t>
  </si>
  <si>
    <t>Belum Kawin</t>
  </si>
  <si>
    <t>0 – 4</t>
  </si>
  <si>
    <t>Tamat SD</t>
  </si>
  <si>
    <t>Kawin</t>
  </si>
  <si>
    <t>5 – 9</t>
  </si>
  <si>
    <t>SMP</t>
  </si>
  <si>
    <t>Cerai Hidup</t>
  </si>
  <si>
    <t>10 – 14</t>
  </si>
  <si>
    <t>SMA</t>
  </si>
  <si>
    <t>Cerai Mati</t>
  </si>
  <si>
    <t>15 – 19</t>
  </si>
  <si>
    <t>Diploma 1</t>
  </si>
  <si>
    <t>TOTAL</t>
  </si>
  <si>
    <t>20 – 24</t>
  </si>
  <si>
    <t>Diploma 3</t>
  </si>
  <si>
    <t>25 – 29</t>
  </si>
  <si>
    <t>S1</t>
  </si>
  <si>
    <t>30 – 34</t>
  </si>
  <si>
    <t>S2</t>
  </si>
  <si>
    <t>35 – 39</t>
  </si>
  <si>
    <t>S3</t>
  </si>
  <si>
    <t>40 – 44</t>
  </si>
  <si>
    <t>45 – 49</t>
  </si>
  <si>
    <t>50 – 54</t>
  </si>
  <si>
    <t>55 – 59</t>
  </si>
  <si>
    <t>60 – 64</t>
  </si>
  <si>
    <t>65 – 69</t>
  </si>
  <si>
    <t>70 – 74</t>
  </si>
  <si>
    <t>75 ke atas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</si>
</sst>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.00"/>
  </numFmts>
  <fonts count="8">
    <font>
      <sz val="10.0"/>
      <color rgb="FF000000"/>
      <name val="Arial"/>
      <scheme val="minor"/>
    </font>
    <font>
      <b/>
      <color rgb="FF000000"/>
      <name val="'Times New Roman'"/>
    </font>
    <font/>
    <font>
      <color rgb="FF000000"/>
      <name val="'Times New Roman'"/>
    </font>
    <font>
      <color theme="1"/>
      <name val="Arial"/>
      <scheme val="minor"/>
    </font>
    <font>
      <color rgb="FF000000"/>
      <name val="Times New Roman"/>
    </font>
    <font>
      <color theme="1"/>
      <name val="Times New Roman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1" fillId="0" fontId="1" numFmtId="0" xfId="0" applyAlignment="1" applyBorder="1" applyFont="1">
      <alignment horizontal="left" readingOrder="0" shrinkToFit="0" wrapText="1"/>
    </xf>
    <xf borderId="3" fillId="0" fontId="2" numFmtId="0" xfId="0" applyBorder="1" applyFont="1"/>
    <xf borderId="4" fillId="0" fontId="3" numFmtId="0" xfId="0" applyAlignment="1" applyBorder="1" applyFont="1">
      <alignment horizontal="left" readingOrder="0" shrinkToFit="0" wrapText="1"/>
    </xf>
    <xf borderId="5" fillId="0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left" readingOrder="0" shrinkToFit="0" wrapText="1"/>
    </xf>
    <xf borderId="4" fillId="0" fontId="1" numFmtId="0" xfId="0" applyAlignment="1" applyBorder="1" applyFont="1">
      <alignment horizontal="center" readingOrder="0" shrinkToFit="0" wrapText="1"/>
    </xf>
    <xf borderId="6" fillId="0" fontId="2" numFmtId="0" xfId="0" applyBorder="1" applyFont="1"/>
    <xf borderId="4" fillId="0" fontId="3" numFmtId="3" xfId="0" applyAlignment="1" applyBorder="1" applyFont="1" applyNumberFormat="1">
      <alignment horizontal="left" readingOrder="0" shrinkToFit="0" wrapText="1"/>
    </xf>
    <xf borderId="0" fillId="0" fontId="4" numFmtId="0" xfId="0" applyAlignment="1" applyFont="1">
      <alignment horizontal="left"/>
    </xf>
    <xf borderId="4" fillId="0" fontId="4" numFmtId="0" xfId="0" applyAlignment="1" applyBorder="1" applyFont="1">
      <alignment horizontal="left" shrinkToFit="0" vertical="top" wrapText="1"/>
    </xf>
    <xf borderId="0" fillId="0" fontId="3" numFmtId="3" xfId="0" applyAlignment="1" applyFont="1" applyNumberFormat="1">
      <alignment horizontal="left" readingOrder="0" shrinkToFit="0" wrapText="1"/>
    </xf>
    <xf borderId="4" fillId="0" fontId="3" numFmtId="164" xfId="0" applyAlignment="1" applyBorder="1" applyFont="1" applyNumberFormat="1">
      <alignment horizontal="left" readingOrder="0" shrinkToFit="0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 shrinkToFit="0" wrapText="1"/>
    </xf>
    <xf borderId="4" fillId="0" fontId="6" numFmtId="0" xfId="0" applyAlignment="1" applyBorder="1" applyFont="1">
      <alignment readingOrder="0"/>
    </xf>
    <xf borderId="4" fillId="0" fontId="7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/>
    </xf>
    <xf borderId="4" fillId="0" fontId="7" numFmtId="0" xfId="0" applyBorder="1" applyFont="1"/>
    <xf borderId="4" fillId="0" fontId="4" numFmtId="3" xfId="0" applyBorder="1" applyFont="1" applyNumberFormat="1"/>
    <xf borderId="4" fillId="0" fontId="7" numFmtId="0" xfId="0" applyAlignment="1" applyBorder="1" applyFont="1">
      <alignment horizontal="center"/>
    </xf>
    <xf borderId="4" fillId="0" fontId="7" numFmtId="3" xfId="0" applyAlignment="1" applyBorder="1" applyFont="1" applyNumberFormat="1">
      <alignment horizontal="center"/>
    </xf>
    <xf borderId="4" fillId="2" fontId="7" numFmtId="0" xfId="0" applyBorder="1" applyFill="1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D9EEB"/>
              </a:solidFill>
            </c:spPr>
          </c:dPt>
          <c:dPt>
            <c:idx val="1"/>
            <c:spPr>
              <a:solidFill>
                <a:srgbClr val="CC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DIAGRAM!$A$8:$A$9</c:f>
            </c:strRef>
          </c:cat>
          <c:val>
            <c:numRef>
              <c:f>DIAGRAM!$B$8:$B$9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DIAGRAM!$F$1:$F$6</c:f>
            </c:strRef>
          </c:cat>
          <c:val>
            <c:numRef>
              <c:f>DIAGRAM!$G$1:$G$6</c:f>
              <c:numCache/>
            </c:numRef>
          </c:val>
        </c:ser>
        <c:axId val="827522552"/>
        <c:axId val="393610629"/>
      </c:barChart>
      <c:catAx>
        <c:axId val="827522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3610629"/>
      </c:catAx>
      <c:valAx>
        <c:axId val="3936106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75225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varyColors val="0"/>
        <c:ser>
          <c:idx val="0"/>
          <c:order val="0"/>
          <c:tx>
            <c:strRef>
              <c:f>DIAGRAM!$L$1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DIAGRAM!$K$2:$K$11</c:f>
            </c:strRef>
          </c:cat>
          <c:val>
            <c:numRef>
              <c:f>DIAGRAM!$L$2:$L$11</c:f>
              <c:numCache/>
            </c:numRef>
          </c:val>
        </c:ser>
        <c:axId val="1389064716"/>
        <c:axId val="1365512411"/>
      </c:barChart>
      <c:catAx>
        <c:axId val="13890647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Tingkat Pendidikan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5512411"/>
      </c:catAx>
      <c:valAx>
        <c:axId val="13655124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906471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PENDUDUK BERDASARKAN STATUS PERKAWINAN vs Status Perkawinan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DIAGRAM!$Q$1:$Q$2</c:f>
            </c:strRef>
          </c:tx>
          <c:dPt>
            <c:idx val="0"/>
            <c:spPr>
              <a:solidFill>
                <a:srgbClr val="CC0000"/>
              </a:solidFill>
            </c:spPr>
          </c:dPt>
          <c:dPt>
            <c:idx val="1"/>
            <c:spPr>
              <a:solidFill>
                <a:srgbClr val="3C78D8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E6913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DIAGRAM!$P$3:$P$6</c:f>
            </c:strRef>
          </c:cat>
          <c:val>
            <c:numRef>
              <c:f>DIAGRAM!$Q$3:$Q$6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Laki-laki (L) dan Perempuan (P)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DIAGRAM!$W$1:$W$2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DIAGRAM!$V$3:$V$18</c:f>
            </c:strRef>
          </c:cat>
          <c:val>
            <c:numRef>
              <c:f>DIAGRAM!$W$3:$W$18</c:f>
              <c:numCache/>
            </c:numRef>
          </c:val>
        </c:ser>
        <c:ser>
          <c:idx val="1"/>
          <c:order val="1"/>
          <c:tx>
            <c:strRef>
              <c:f>DIAGRAM!$X$1:$X$2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DIAGRAM!$V$3:$V$18</c:f>
            </c:strRef>
          </c:cat>
          <c:val>
            <c:numRef>
              <c:f>DIAGRAM!$X$3:$X$18</c:f>
              <c:numCache/>
            </c:numRef>
          </c:val>
        </c:ser>
        <c:axId val="202036548"/>
        <c:axId val="1384681249"/>
      </c:barChart>
      <c:catAx>
        <c:axId val="2020365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Kelompok Usia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4681249"/>
      </c:catAx>
      <c:valAx>
        <c:axId val="13846812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0365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190500</xdr:rowOff>
    </xdr:from>
    <xdr:ext cx="3524250" cy="218122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485775</xdr:colOff>
      <xdr:row>7</xdr:row>
      <xdr:rowOff>9525</xdr:rowOff>
    </xdr:from>
    <xdr:ext cx="3181350" cy="343852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923925</xdr:colOff>
      <xdr:row>12</xdr:row>
      <xdr:rowOff>180975</xdr:rowOff>
    </xdr:from>
    <xdr:ext cx="4095750" cy="3533775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942975</xdr:colOff>
      <xdr:row>7</xdr:row>
      <xdr:rowOff>95250</xdr:rowOff>
    </xdr:from>
    <xdr:ext cx="3743325" cy="2314575"/>
    <xdr:graphicFrame>
      <xdr:nvGraphicFramePr>
        <xdr:cNvPr id="4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20</xdr:col>
      <xdr:colOff>733425</xdr:colOff>
      <xdr:row>18</xdr:row>
      <xdr:rowOff>142875</xdr:rowOff>
    </xdr:from>
    <xdr:ext cx="4505325" cy="2781300"/>
    <xdr:graphicFrame>
      <xdr:nvGraphicFramePr>
        <xdr:cNvPr id="5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13"/>
    <col customWidth="1" min="5" max="5" width="32.5"/>
  </cols>
  <sheetData>
    <row r="1">
      <c r="A1" s="1" t="s">
        <v>0</v>
      </c>
      <c r="B1" s="2"/>
      <c r="C1" s="4"/>
      <c r="E1" s="1" t="s">
        <v>8</v>
      </c>
      <c r="F1" s="2"/>
      <c r="G1" s="2"/>
      <c r="H1" s="4"/>
    </row>
    <row r="2">
      <c r="A2" s="6" t="s">
        <v>18</v>
      </c>
      <c r="B2" s="1" t="s">
        <v>57</v>
      </c>
      <c r="C2" s="4"/>
      <c r="E2" s="7" t="s">
        <v>18</v>
      </c>
      <c r="F2" s="8" t="s">
        <v>87</v>
      </c>
      <c r="G2" s="8" t="s">
        <v>97</v>
      </c>
      <c r="H2" s="8" t="s">
        <v>100</v>
      </c>
    </row>
    <row r="3">
      <c r="A3" s="9"/>
      <c r="B3" s="8" t="s">
        <v>112</v>
      </c>
      <c r="C3" s="8" t="s">
        <v>114</v>
      </c>
      <c r="E3" s="5" t="s">
        <v>116</v>
      </c>
      <c r="F3" s="5" t="s">
        <v>118</v>
      </c>
      <c r="G3" s="5" t="s">
        <v>119</v>
      </c>
      <c r="H3" s="5" t="s">
        <v>121</v>
      </c>
    </row>
    <row r="4">
      <c r="A4" s="5" t="s">
        <v>116</v>
      </c>
      <c r="B4" s="10" t="s">
        <v>125</v>
      </c>
      <c r="C4" s="10" t="s">
        <v>135</v>
      </c>
      <c r="E4" s="5" t="s">
        <v>137</v>
      </c>
      <c r="F4" s="5" t="s">
        <v>138</v>
      </c>
      <c r="G4" s="5" t="s">
        <v>139</v>
      </c>
      <c r="H4" s="5" t="s">
        <v>141</v>
      </c>
    </row>
    <row r="5">
      <c r="A5" s="5" t="s">
        <v>137</v>
      </c>
      <c r="B5" s="5" t="s">
        <v>142</v>
      </c>
      <c r="C5" s="5" t="s">
        <v>143</v>
      </c>
      <c r="E5" s="5" t="s">
        <v>144</v>
      </c>
      <c r="F5" s="5" t="s">
        <v>145</v>
      </c>
      <c r="G5" s="5" t="s">
        <v>146</v>
      </c>
      <c r="H5" s="12"/>
    </row>
    <row r="6">
      <c r="A6" s="5" t="s">
        <v>144</v>
      </c>
      <c r="B6" s="5" t="s">
        <v>156</v>
      </c>
      <c r="C6" s="5" t="s">
        <v>157</v>
      </c>
    </row>
    <row r="7">
      <c r="F7" s="13"/>
      <c r="G7" s="13"/>
    </row>
    <row r="8">
      <c r="F8" s="13"/>
      <c r="G8" s="13"/>
    </row>
    <row r="10">
      <c r="B10" s="13"/>
      <c r="C10" s="13"/>
    </row>
    <row r="11">
      <c r="B11" s="13"/>
      <c r="C11" s="13"/>
    </row>
  </sheetData>
  <mergeCells count="4">
    <mergeCell ref="A1:C1"/>
    <mergeCell ref="E1:H1"/>
    <mergeCell ref="A2:A3"/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88"/>
    <col customWidth="1" min="2" max="2" width="21.88"/>
    <col customWidth="1" min="4" max="4" width="24.0"/>
  </cols>
  <sheetData>
    <row r="1">
      <c r="A1" s="1" t="s">
        <v>2</v>
      </c>
      <c r="B1" s="4"/>
      <c r="D1" s="1" t="s">
        <v>6</v>
      </c>
      <c r="E1" s="4"/>
    </row>
    <row r="2">
      <c r="A2" s="5" t="s">
        <v>9</v>
      </c>
      <c r="B2" s="5" t="s">
        <v>19</v>
      </c>
      <c r="D2" s="5" t="s">
        <v>22</v>
      </c>
      <c r="E2" s="5" t="s">
        <v>23</v>
      </c>
    </row>
    <row r="3">
      <c r="A3" s="5" t="s">
        <v>25</v>
      </c>
      <c r="B3" s="5" t="s">
        <v>27</v>
      </c>
      <c r="D3" s="5" t="s">
        <v>30</v>
      </c>
      <c r="E3" s="5" t="s">
        <v>32</v>
      </c>
    </row>
    <row r="4">
      <c r="A4" s="5" t="s">
        <v>34</v>
      </c>
      <c r="B4" s="5" t="s">
        <v>37</v>
      </c>
      <c r="D4" s="5" t="s">
        <v>39</v>
      </c>
      <c r="E4" s="5" t="s">
        <v>40</v>
      </c>
    </row>
    <row r="5">
      <c r="A5" s="5" t="s">
        <v>44</v>
      </c>
      <c r="B5" s="5" t="s">
        <v>46</v>
      </c>
      <c r="D5" s="5" t="s">
        <v>47</v>
      </c>
      <c r="E5" s="5" t="s">
        <v>48</v>
      </c>
    </row>
    <row r="6">
      <c r="A6" s="5" t="s">
        <v>51</v>
      </c>
      <c r="B6" s="5" t="s">
        <v>53</v>
      </c>
      <c r="D6" s="5" t="s">
        <v>58</v>
      </c>
      <c r="E6" s="5" t="s">
        <v>60</v>
      </c>
    </row>
    <row r="7">
      <c r="A7" s="5" t="s">
        <v>64</v>
      </c>
      <c r="B7" s="5" t="s">
        <v>67</v>
      </c>
      <c r="D7" s="5" t="s">
        <v>69</v>
      </c>
      <c r="E7" s="5" t="s">
        <v>72</v>
      </c>
    </row>
    <row r="8">
      <c r="A8" s="5" t="s">
        <v>75</v>
      </c>
      <c r="B8" s="5" t="s">
        <v>77</v>
      </c>
    </row>
  </sheetData>
  <mergeCells count="2">
    <mergeCell ref="A1:B1"/>
    <mergeCell ref="D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</cols>
  <sheetData>
    <row r="1">
      <c r="A1" s="1" t="s">
        <v>3</v>
      </c>
      <c r="B1" s="4"/>
    </row>
    <row r="2">
      <c r="A2" s="3" t="s">
        <v>5</v>
      </c>
      <c r="B2" s="4"/>
    </row>
    <row r="3">
      <c r="A3" s="5" t="s">
        <v>7</v>
      </c>
      <c r="B3" s="5" t="s">
        <v>11</v>
      </c>
    </row>
    <row r="4">
      <c r="A4" s="5" t="s">
        <v>12</v>
      </c>
      <c r="B4" s="5" t="s">
        <v>13</v>
      </c>
    </row>
    <row r="5">
      <c r="A5" s="5" t="s">
        <v>15</v>
      </c>
      <c r="B5" s="5" t="s">
        <v>16</v>
      </c>
    </row>
    <row r="7">
      <c r="A7" s="3" t="s">
        <v>21</v>
      </c>
      <c r="B7" s="4"/>
    </row>
    <row r="8">
      <c r="A8" s="5" t="s">
        <v>29</v>
      </c>
      <c r="B8" s="5" t="s">
        <v>11</v>
      </c>
    </row>
    <row r="9">
      <c r="A9" s="5" t="s">
        <v>33</v>
      </c>
      <c r="B9" s="5" t="s">
        <v>13</v>
      </c>
    </row>
    <row r="10">
      <c r="A10" s="5" t="s">
        <v>36</v>
      </c>
      <c r="B10" s="5" t="s">
        <v>16</v>
      </c>
    </row>
    <row r="12">
      <c r="A12" s="3" t="s">
        <v>41</v>
      </c>
      <c r="B12" s="4"/>
    </row>
    <row r="13">
      <c r="A13" s="5" t="s">
        <v>49</v>
      </c>
      <c r="B13" s="5" t="s">
        <v>50</v>
      </c>
    </row>
    <row r="14">
      <c r="A14" s="5" t="s">
        <v>55</v>
      </c>
      <c r="B14" s="5" t="s">
        <v>50</v>
      </c>
    </row>
    <row r="15">
      <c r="A15" s="5" t="s">
        <v>62</v>
      </c>
      <c r="B15" s="5" t="s">
        <v>65</v>
      </c>
    </row>
    <row r="17">
      <c r="A17" s="3" t="s">
        <v>71</v>
      </c>
      <c r="B17" s="4"/>
    </row>
    <row r="18">
      <c r="A18" s="5" t="s">
        <v>82</v>
      </c>
      <c r="B18" s="5" t="s">
        <v>98</v>
      </c>
    </row>
    <row r="19">
      <c r="A19" s="5" t="s">
        <v>101</v>
      </c>
      <c r="B19" s="5" t="s">
        <v>103</v>
      </c>
    </row>
    <row r="20">
      <c r="A20" s="5" t="s">
        <v>105</v>
      </c>
      <c r="B20" s="5" t="s">
        <v>107</v>
      </c>
    </row>
    <row r="22">
      <c r="A22" s="3" t="s">
        <v>110</v>
      </c>
      <c r="B22" s="4"/>
    </row>
    <row r="23">
      <c r="A23" s="5" t="s">
        <v>117</v>
      </c>
      <c r="B23" s="5" t="s">
        <v>50</v>
      </c>
    </row>
    <row r="24">
      <c r="A24" s="5" t="s">
        <v>120</v>
      </c>
      <c r="B24" s="5" t="s">
        <v>50</v>
      </c>
    </row>
    <row r="25">
      <c r="A25" s="5" t="s">
        <v>122</v>
      </c>
      <c r="B25" s="5" t="s">
        <v>123</v>
      </c>
    </row>
    <row r="27">
      <c r="A27" s="3" t="s">
        <v>126</v>
      </c>
      <c r="B27" s="4"/>
    </row>
    <row r="28">
      <c r="A28" s="5" t="s">
        <v>131</v>
      </c>
      <c r="B28" s="5" t="s">
        <v>132</v>
      </c>
    </row>
    <row r="29">
      <c r="A29" s="5" t="s">
        <v>133</v>
      </c>
      <c r="B29" s="5" t="s">
        <v>134</v>
      </c>
    </row>
    <row r="30">
      <c r="A30" s="5" t="s">
        <v>136</v>
      </c>
      <c r="B30" s="5" t="s">
        <v>50</v>
      </c>
    </row>
    <row r="32">
      <c r="A32" s="3" t="s">
        <v>140</v>
      </c>
      <c r="B32" s="4"/>
    </row>
    <row r="33">
      <c r="A33" s="5" t="s">
        <v>147</v>
      </c>
      <c r="B33" s="5" t="s">
        <v>148</v>
      </c>
    </row>
    <row r="35">
      <c r="A35" s="3" t="s">
        <v>149</v>
      </c>
      <c r="B35" s="4"/>
    </row>
    <row r="36">
      <c r="A36" s="5" t="s">
        <v>150</v>
      </c>
      <c r="B36" s="5" t="s">
        <v>99</v>
      </c>
    </row>
    <row r="37">
      <c r="A37" s="5" t="s">
        <v>151</v>
      </c>
      <c r="B37" s="5" t="s">
        <v>152</v>
      </c>
    </row>
    <row r="38">
      <c r="A38" s="5" t="s">
        <v>153</v>
      </c>
      <c r="B38" s="5" t="s">
        <v>134</v>
      </c>
    </row>
    <row r="40">
      <c r="A40" s="3" t="s">
        <v>154</v>
      </c>
      <c r="B40" s="4"/>
    </row>
    <row r="41">
      <c r="A41" s="5" t="s">
        <v>158</v>
      </c>
      <c r="B41" s="5" t="s">
        <v>159</v>
      </c>
    </row>
    <row r="42">
      <c r="A42" s="5" t="s">
        <v>161</v>
      </c>
      <c r="B42" s="5" t="s">
        <v>162</v>
      </c>
    </row>
    <row r="43">
      <c r="A43" s="5" t="s">
        <v>164</v>
      </c>
      <c r="B43" s="5" t="s">
        <v>165</v>
      </c>
    </row>
    <row r="44">
      <c r="A44" s="5" t="s">
        <v>166</v>
      </c>
      <c r="B44" s="5" t="s">
        <v>168</v>
      </c>
    </row>
    <row r="45">
      <c r="A45" s="5" t="s">
        <v>169</v>
      </c>
      <c r="B45" s="5" t="s">
        <v>170</v>
      </c>
    </row>
    <row r="46">
      <c r="A46" s="5" t="s">
        <v>172</v>
      </c>
      <c r="B46" s="5" t="s">
        <v>174</v>
      </c>
    </row>
    <row r="47">
      <c r="A47" s="5" t="s">
        <v>175</v>
      </c>
      <c r="B47" s="5" t="s">
        <v>177</v>
      </c>
    </row>
    <row r="48">
      <c r="A48" s="5" t="s">
        <v>179</v>
      </c>
      <c r="B48" s="5" t="s">
        <v>180</v>
      </c>
    </row>
    <row r="49">
      <c r="A49" s="5" t="s">
        <v>182</v>
      </c>
      <c r="B49" s="5" t="s">
        <v>184</v>
      </c>
    </row>
    <row r="50">
      <c r="A50" s="5" t="s">
        <v>185</v>
      </c>
      <c r="B50" s="5" t="s">
        <v>65</v>
      </c>
    </row>
    <row r="51">
      <c r="A51" s="5" t="s">
        <v>187</v>
      </c>
      <c r="B51" s="5" t="s">
        <v>99</v>
      </c>
    </row>
    <row r="52">
      <c r="A52" s="5" t="s">
        <v>189</v>
      </c>
      <c r="B52" s="5" t="s">
        <v>191</v>
      </c>
    </row>
    <row r="53">
      <c r="A53" s="5" t="s">
        <v>192</v>
      </c>
      <c r="B53" s="5" t="s">
        <v>194</v>
      </c>
    </row>
    <row r="54">
      <c r="A54" s="5" t="s">
        <v>195</v>
      </c>
      <c r="B54" s="5" t="s">
        <v>196</v>
      </c>
    </row>
    <row r="55">
      <c r="A55" s="5" t="s">
        <v>198</v>
      </c>
      <c r="B55" s="5" t="s">
        <v>199</v>
      </c>
    </row>
  </sheetData>
  <mergeCells count="10">
    <mergeCell ref="A32:B32"/>
    <mergeCell ref="A35:B35"/>
    <mergeCell ref="A40:B40"/>
    <mergeCell ref="A1:B1"/>
    <mergeCell ref="A2:B2"/>
    <mergeCell ref="A7:B7"/>
    <mergeCell ref="A12:B12"/>
    <mergeCell ref="A17:B17"/>
    <mergeCell ref="A22:B22"/>
    <mergeCell ref="A27:B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  <col customWidth="1" min="4" max="4" width="21.88"/>
  </cols>
  <sheetData>
    <row r="1">
      <c r="A1" s="3" t="s">
        <v>1</v>
      </c>
      <c r="B1" s="4"/>
      <c r="D1" s="3" t="s">
        <v>4</v>
      </c>
      <c r="E1" s="4"/>
    </row>
    <row r="2">
      <c r="A2" s="5" t="s">
        <v>10</v>
      </c>
      <c r="B2" s="5" t="s">
        <v>14</v>
      </c>
      <c r="D2" s="5" t="s">
        <v>17</v>
      </c>
      <c r="E2" s="5" t="s">
        <v>20</v>
      </c>
    </row>
    <row r="3">
      <c r="A3" s="5" t="s">
        <v>24</v>
      </c>
      <c r="B3" s="5" t="s">
        <v>26</v>
      </c>
      <c r="D3" s="5" t="s">
        <v>28</v>
      </c>
      <c r="E3" s="5" t="s">
        <v>31</v>
      </c>
    </row>
    <row r="4">
      <c r="A4" s="5" t="s">
        <v>35</v>
      </c>
      <c r="B4" s="5" t="s">
        <v>38</v>
      </c>
    </row>
    <row r="5">
      <c r="A5" s="5" t="s">
        <v>42</v>
      </c>
      <c r="B5" s="5" t="s">
        <v>43</v>
      </c>
      <c r="D5" s="3" t="s">
        <v>45</v>
      </c>
      <c r="E5" s="4"/>
    </row>
    <row r="6">
      <c r="A6" s="5" t="s">
        <v>52</v>
      </c>
      <c r="B6" s="5" t="s">
        <v>54</v>
      </c>
      <c r="D6" s="5" t="s">
        <v>56</v>
      </c>
      <c r="E6" s="5" t="s">
        <v>59</v>
      </c>
    </row>
    <row r="7">
      <c r="A7" s="5" t="s">
        <v>61</v>
      </c>
      <c r="B7" s="5" t="s">
        <v>63</v>
      </c>
      <c r="D7" s="5" t="s">
        <v>66</v>
      </c>
      <c r="E7" s="5" t="s">
        <v>68</v>
      </c>
    </row>
    <row r="8">
      <c r="A8" s="5" t="s">
        <v>70</v>
      </c>
      <c r="B8" s="5" t="s">
        <v>73</v>
      </c>
      <c r="D8" s="5" t="s">
        <v>28</v>
      </c>
      <c r="E8" s="5" t="s">
        <v>74</v>
      </c>
    </row>
    <row r="9">
      <c r="A9" s="5" t="s">
        <v>76</v>
      </c>
      <c r="B9" s="5" t="s">
        <v>78</v>
      </c>
      <c r="D9" s="5" t="s">
        <v>79</v>
      </c>
      <c r="E9" s="5" t="s">
        <v>80</v>
      </c>
    </row>
    <row r="10">
      <c r="A10" s="5" t="s">
        <v>81</v>
      </c>
      <c r="B10" s="5" t="s">
        <v>83</v>
      </c>
    </row>
    <row r="11">
      <c r="A11" s="5" t="s">
        <v>84</v>
      </c>
      <c r="B11" s="5" t="s">
        <v>85</v>
      </c>
      <c r="D11" s="3" t="s">
        <v>86</v>
      </c>
      <c r="E11" s="4"/>
    </row>
    <row r="12">
      <c r="A12" s="5" t="s">
        <v>88</v>
      </c>
      <c r="B12" s="5" t="s">
        <v>89</v>
      </c>
      <c r="D12" s="5" t="s">
        <v>90</v>
      </c>
      <c r="E12" s="5" t="s">
        <v>91</v>
      </c>
    </row>
    <row r="13">
      <c r="A13" s="5" t="s">
        <v>92</v>
      </c>
      <c r="B13" s="5" t="s">
        <v>93</v>
      </c>
      <c r="D13" s="5" t="s">
        <v>94</v>
      </c>
      <c r="E13" s="5" t="s">
        <v>95</v>
      </c>
    </row>
    <row r="14">
      <c r="A14" s="5" t="s">
        <v>96</v>
      </c>
      <c r="B14" s="5" t="s">
        <v>99</v>
      </c>
      <c r="D14" s="5" t="s">
        <v>102</v>
      </c>
      <c r="E14" s="5" t="s">
        <v>104</v>
      </c>
    </row>
    <row r="15">
      <c r="A15" s="5" t="s">
        <v>106</v>
      </c>
      <c r="B15" s="5" t="s">
        <v>108</v>
      </c>
      <c r="D15" s="5" t="s">
        <v>109</v>
      </c>
      <c r="E15" s="5" t="s">
        <v>111</v>
      </c>
    </row>
    <row r="16">
      <c r="D16" s="5" t="s">
        <v>113</v>
      </c>
      <c r="E16" s="5" t="s">
        <v>111</v>
      </c>
    </row>
    <row r="17">
      <c r="A17" s="3" t="s">
        <v>115</v>
      </c>
      <c r="B17" s="4"/>
      <c r="D17" s="5" t="s">
        <v>28</v>
      </c>
      <c r="E17" s="5" t="s">
        <v>124</v>
      </c>
    </row>
    <row r="18">
      <c r="A18" s="5" t="s">
        <v>127</v>
      </c>
      <c r="B18" s="5" t="s">
        <v>128</v>
      </c>
      <c r="D18" s="5" t="s">
        <v>129</v>
      </c>
      <c r="E18" s="5" t="s">
        <v>130</v>
      </c>
    </row>
    <row r="19">
      <c r="A19" s="11"/>
    </row>
    <row r="20">
      <c r="A20" s="3" t="s">
        <v>155</v>
      </c>
      <c r="B20" s="4"/>
    </row>
    <row r="21">
      <c r="A21" s="5" t="s">
        <v>160</v>
      </c>
      <c r="B21" s="5" t="s">
        <v>99</v>
      </c>
    </row>
    <row r="22">
      <c r="A22" s="5" t="s">
        <v>163</v>
      </c>
      <c r="B22" s="5" t="s">
        <v>132</v>
      </c>
    </row>
    <row r="23">
      <c r="A23" s="5" t="s">
        <v>167</v>
      </c>
      <c r="B23" s="5" t="s">
        <v>99</v>
      </c>
    </row>
    <row r="24">
      <c r="A24" s="5" t="s">
        <v>171</v>
      </c>
      <c r="B24" s="5" t="s">
        <v>173</v>
      </c>
    </row>
    <row r="25">
      <c r="A25" s="5" t="s">
        <v>176</v>
      </c>
      <c r="B25" s="5" t="s">
        <v>178</v>
      </c>
    </row>
    <row r="26">
      <c r="A26" s="5" t="s">
        <v>181</v>
      </c>
      <c r="B26" s="5" t="s">
        <v>183</v>
      </c>
    </row>
    <row r="27">
      <c r="A27" s="5" t="s">
        <v>186</v>
      </c>
      <c r="B27" s="5" t="s">
        <v>188</v>
      </c>
    </row>
    <row r="28">
      <c r="A28" s="5" t="s">
        <v>190</v>
      </c>
      <c r="B28" s="5" t="s">
        <v>50</v>
      </c>
    </row>
    <row r="29">
      <c r="A29" s="5" t="s">
        <v>193</v>
      </c>
      <c r="B29" s="5" t="s">
        <v>50</v>
      </c>
    </row>
    <row r="30">
      <c r="A30" s="5" t="s">
        <v>197</v>
      </c>
      <c r="B30" s="5" t="s">
        <v>50</v>
      </c>
    </row>
    <row r="31">
      <c r="A31" s="5" t="s">
        <v>200</v>
      </c>
      <c r="B31" s="5" t="s">
        <v>178</v>
      </c>
    </row>
    <row r="32">
      <c r="A32" s="5" t="s">
        <v>201</v>
      </c>
      <c r="B32" s="5" t="s">
        <v>50</v>
      </c>
    </row>
    <row r="33">
      <c r="A33" s="5" t="s">
        <v>202</v>
      </c>
      <c r="B33" s="5" t="s">
        <v>203</v>
      </c>
    </row>
  </sheetData>
  <mergeCells count="6">
    <mergeCell ref="A1:B1"/>
    <mergeCell ref="D1:E1"/>
    <mergeCell ref="D5:E5"/>
    <mergeCell ref="D11:E11"/>
    <mergeCell ref="A17:B17"/>
    <mergeCell ref="A20:B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4" max="4" width="40.0"/>
  </cols>
  <sheetData>
    <row r="1">
      <c r="A1" s="3" t="s">
        <v>204</v>
      </c>
      <c r="B1" s="4"/>
      <c r="D1" s="3" t="s">
        <v>206</v>
      </c>
      <c r="E1" s="4"/>
    </row>
    <row r="2">
      <c r="A2" s="5" t="s">
        <v>207</v>
      </c>
      <c r="B2" s="5" t="s">
        <v>50</v>
      </c>
      <c r="D2" s="5" t="s">
        <v>209</v>
      </c>
      <c r="E2" s="5" t="s">
        <v>210</v>
      </c>
    </row>
    <row r="3">
      <c r="A3" s="5" t="s">
        <v>211</v>
      </c>
      <c r="B3" s="5" t="s">
        <v>213</v>
      </c>
      <c r="D3" s="5" t="s">
        <v>214</v>
      </c>
      <c r="E3" s="5" t="s">
        <v>215</v>
      </c>
    </row>
    <row r="4">
      <c r="A4" s="5" t="s">
        <v>216</v>
      </c>
      <c r="B4" s="5" t="s">
        <v>194</v>
      </c>
      <c r="D4" s="5" t="s">
        <v>217</v>
      </c>
      <c r="E4" s="5" t="s">
        <v>134</v>
      </c>
    </row>
    <row r="5">
      <c r="A5" s="5" t="s">
        <v>219</v>
      </c>
      <c r="B5" s="5" t="s">
        <v>220</v>
      </c>
    </row>
    <row r="6">
      <c r="A6" s="5" t="s">
        <v>223</v>
      </c>
      <c r="B6" s="5" t="s">
        <v>224</v>
      </c>
      <c r="D6" s="3" t="s">
        <v>225</v>
      </c>
      <c r="E6" s="4"/>
    </row>
    <row r="7">
      <c r="A7" s="5" t="s">
        <v>227</v>
      </c>
      <c r="B7" s="5" t="s">
        <v>228</v>
      </c>
      <c r="D7" s="5" t="s">
        <v>230</v>
      </c>
      <c r="E7" s="5" t="s">
        <v>232</v>
      </c>
    </row>
    <row r="8">
      <c r="A8" s="5" t="s">
        <v>234</v>
      </c>
      <c r="B8" s="5" t="s">
        <v>235</v>
      </c>
      <c r="D8" s="5" t="s">
        <v>237</v>
      </c>
      <c r="E8" s="5" t="s">
        <v>239</v>
      </c>
    </row>
    <row r="9">
      <c r="A9" s="5" t="s">
        <v>240</v>
      </c>
      <c r="B9" s="5" t="s">
        <v>242</v>
      </c>
      <c r="D9" s="5" t="s">
        <v>245</v>
      </c>
      <c r="E9" s="5" t="s">
        <v>247</v>
      </c>
    </row>
    <row r="10">
      <c r="A10" s="5" t="s">
        <v>249</v>
      </c>
      <c r="B10" s="5" t="s">
        <v>251</v>
      </c>
      <c r="D10" s="5" t="s">
        <v>252</v>
      </c>
      <c r="E10" s="5" t="s">
        <v>220</v>
      </c>
    </row>
    <row r="11">
      <c r="A11" s="5" t="s">
        <v>256</v>
      </c>
      <c r="B11" s="5" t="s">
        <v>228</v>
      </c>
      <c r="D11" s="5" t="s">
        <v>259</v>
      </c>
      <c r="E11" s="5" t="s">
        <v>85</v>
      </c>
    </row>
    <row r="12">
      <c r="A12" s="5" t="s">
        <v>262</v>
      </c>
      <c r="B12" s="5" t="s">
        <v>264</v>
      </c>
      <c r="D12" s="5" t="s">
        <v>266</v>
      </c>
      <c r="E12" s="5" t="s">
        <v>235</v>
      </c>
    </row>
    <row r="13">
      <c r="A13" s="5" t="s">
        <v>269</v>
      </c>
      <c r="B13" s="5" t="s">
        <v>50</v>
      </c>
      <c r="D13" s="5" t="s">
        <v>272</v>
      </c>
      <c r="E13" s="5" t="s">
        <v>98</v>
      </c>
    </row>
    <row r="14">
      <c r="A14" s="5" t="s">
        <v>277</v>
      </c>
      <c r="B14" s="5" t="s">
        <v>280</v>
      </c>
      <c r="D14" s="5" t="s">
        <v>282</v>
      </c>
      <c r="E14" s="5" t="s">
        <v>283</v>
      </c>
    </row>
    <row r="15">
      <c r="A15" s="5" t="s">
        <v>284</v>
      </c>
      <c r="B15" s="5" t="s">
        <v>50</v>
      </c>
      <c r="D15" s="5" t="s">
        <v>287</v>
      </c>
      <c r="E15" s="5" t="s">
        <v>50</v>
      </c>
    </row>
    <row r="16">
      <c r="A16" s="5" t="s">
        <v>291</v>
      </c>
      <c r="B16" s="5" t="s">
        <v>178</v>
      </c>
      <c r="D16" s="5" t="s">
        <v>294</v>
      </c>
      <c r="E16" s="5" t="s">
        <v>50</v>
      </c>
    </row>
    <row r="17">
      <c r="A17" s="5" t="s">
        <v>297</v>
      </c>
      <c r="B17" s="5" t="s">
        <v>50</v>
      </c>
    </row>
    <row r="18">
      <c r="A18" s="5" t="s">
        <v>301</v>
      </c>
      <c r="B18" s="5" t="s">
        <v>303</v>
      </c>
      <c r="D18" s="3" t="s">
        <v>306</v>
      </c>
      <c r="E18" s="4"/>
    </row>
    <row r="19">
      <c r="A19" s="5" t="s">
        <v>316</v>
      </c>
      <c r="B19" s="5" t="s">
        <v>50</v>
      </c>
      <c r="D19" s="5" t="s">
        <v>320</v>
      </c>
      <c r="E19" s="5" t="s">
        <v>322</v>
      </c>
    </row>
    <row r="20">
      <c r="A20" s="5" t="s">
        <v>325</v>
      </c>
      <c r="B20" s="5" t="s">
        <v>328</v>
      </c>
      <c r="D20" s="5" t="s">
        <v>330</v>
      </c>
      <c r="E20" s="5" t="s">
        <v>333</v>
      </c>
    </row>
    <row r="21">
      <c r="A21" s="5" t="s">
        <v>336</v>
      </c>
      <c r="B21" s="5" t="s">
        <v>50</v>
      </c>
      <c r="D21" s="5" t="s">
        <v>341</v>
      </c>
      <c r="E21" s="5" t="s">
        <v>344</v>
      </c>
    </row>
    <row r="22">
      <c r="A22" s="5" t="s">
        <v>346</v>
      </c>
      <c r="B22" s="5" t="s">
        <v>347</v>
      </c>
      <c r="D22" s="5" t="s">
        <v>348</v>
      </c>
      <c r="E22" s="5" t="s">
        <v>344</v>
      </c>
    </row>
    <row r="23">
      <c r="A23" s="5" t="s">
        <v>352</v>
      </c>
      <c r="B23" s="5" t="s">
        <v>50</v>
      </c>
      <c r="D23" s="5" t="s">
        <v>357</v>
      </c>
      <c r="E23" s="5" t="s">
        <v>359</v>
      </c>
    </row>
    <row r="24">
      <c r="A24" s="5" t="s">
        <v>363</v>
      </c>
      <c r="B24" s="5" t="s">
        <v>50</v>
      </c>
      <c r="D24" s="5" t="s">
        <v>368</v>
      </c>
      <c r="E24" s="5" t="s">
        <v>371</v>
      </c>
    </row>
    <row r="25">
      <c r="A25" s="5" t="s">
        <v>373</v>
      </c>
      <c r="B25" s="5" t="s">
        <v>50</v>
      </c>
      <c r="D25" s="5" t="s">
        <v>376</v>
      </c>
      <c r="E25" s="5" t="s">
        <v>194</v>
      </c>
    </row>
    <row r="26">
      <c r="A26" s="5" t="s">
        <v>380</v>
      </c>
      <c r="B26" s="5" t="s">
        <v>50</v>
      </c>
      <c r="D26" s="5" t="s">
        <v>383</v>
      </c>
      <c r="E26" s="5" t="s">
        <v>371</v>
      </c>
    </row>
    <row r="27">
      <c r="A27" s="5" t="s">
        <v>387</v>
      </c>
      <c r="B27" s="5" t="s">
        <v>50</v>
      </c>
      <c r="D27" s="5" t="s">
        <v>390</v>
      </c>
      <c r="E27" s="5" t="s">
        <v>391</v>
      </c>
    </row>
    <row r="28">
      <c r="A28" s="5" t="s">
        <v>393</v>
      </c>
      <c r="B28" s="5" t="s">
        <v>50</v>
      </c>
      <c r="D28" s="5" t="s">
        <v>397</v>
      </c>
      <c r="E28" s="5" t="s">
        <v>371</v>
      </c>
    </row>
    <row r="29">
      <c r="A29" s="5" t="s">
        <v>402</v>
      </c>
      <c r="B29" s="5" t="s">
        <v>50</v>
      </c>
      <c r="D29" s="5" t="s">
        <v>405</v>
      </c>
      <c r="E29" s="5" t="s">
        <v>73</v>
      </c>
    </row>
    <row r="30">
      <c r="A30" s="5" t="s">
        <v>409</v>
      </c>
      <c r="B30" s="5" t="s">
        <v>50</v>
      </c>
      <c r="D30" s="5" t="s">
        <v>413</v>
      </c>
      <c r="E30" s="5" t="s">
        <v>344</v>
      </c>
    </row>
    <row r="31">
      <c r="D31" s="5" t="s">
        <v>418</v>
      </c>
      <c r="E31" s="5" t="s">
        <v>420</v>
      </c>
    </row>
  </sheetData>
  <mergeCells count="4">
    <mergeCell ref="A1:B1"/>
    <mergeCell ref="D1:E1"/>
    <mergeCell ref="D6:E6"/>
    <mergeCell ref="D18:E1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4" max="4" width="46.0"/>
    <col customWidth="1" min="7" max="7" width="43.5"/>
  </cols>
  <sheetData>
    <row r="1">
      <c r="A1" s="3" t="s">
        <v>205</v>
      </c>
      <c r="B1" s="4"/>
      <c r="D1" s="3" t="s">
        <v>208</v>
      </c>
      <c r="E1" s="4"/>
      <c r="G1" s="3" t="s">
        <v>212</v>
      </c>
      <c r="H1" s="4"/>
    </row>
    <row r="2">
      <c r="A2" s="5" t="s">
        <v>218</v>
      </c>
      <c r="B2" s="5" t="s">
        <v>221</v>
      </c>
      <c r="D2" s="3" t="s">
        <v>222</v>
      </c>
      <c r="E2" s="4"/>
      <c r="G2" s="5" t="s">
        <v>226</v>
      </c>
      <c r="H2" s="5">
        <v>2965.0</v>
      </c>
    </row>
    <row r="3">
      <c r="A3" s="5" t="s">
        <v>229</v>
      </c>
      <c r="B3" s="5" t="s">
        <v>231</v>
      </c>
      <c r="D3" s="5" t="s">
        <v>233</v>
      </c>
      <c r="E3" s="5" t="s">
        <v>236</v>
      </c>
      <c r="G3" s="5" t="s">
        <v>238</v>
      </c>
      <c r="H3" s="5">
        <v>7.0</v>
      </c>
    </row>
    <row r="4">
      <c r="A4" s="5" t="s">
        <v>241</v>
      </c>
      <c r="B4" s="5" t="s">
        <v>244</v>
      </c>
      <c r="D4" s="5" t="s">
        <v>246</v>
      </c>
      <c r="E4" s="5" t="s">
        <v>248</v>
      </c>
      <c r="G4" s="5" t="s">
        <v>250</v>
      </c>
      <c r="H4" s="5">
        <v>1397.0</v>
      </c>
    </row>
    <row r="5">
      <c r="A5" s="5" t="s">
        <v>253</v>
      </c>
      <c r="B5" s="5" t="s">
        <v>255</v>
      </c>
      <c r="D5" s="5" t="s">
        <v>257</v>
      </c>
      <c r="E5" s="5" t="s">
        <v>258</v>
      </c>
      <c r="G5" s="5" t="s">
        <v>260</v>
      </c>
      <c r="H5" s="5">
        <v>123.0</v>
      </c>
    </row>
    <row r="6">
      <c r="A6" s="5" t="s">
        <v>263</v>
      </c>
      <c r="B6" s="5" t="s">
        <v>265</v>
      </c>
      <c r="D6" s="5" t="s">
        <v>267</v>
      </c>
      <c r="E6" s="5" t="s">
        <v>268</v>
      </c>
      <c r="G6" s="5" t="s">
        <v>270</v>
      </c>
      <c r="H6" s="5">
        <v>180.0</v>
      </c>
    </row>
    <row r="7">
      <c r="A7" s="5" t="s">
        <v>274</v>
      </c>
      <c r="B7" s="5" t="s">
        <v>276</v>
      </c>
      <c r="D7" s="3" t="s">
        <v>279</v>
      </c>
      <c r="E7" s="4"/>
    </row>
    <row r="8">
      <c r="A8" s="5" t="s">
        <v>286</v>
      </c>
      <c r="B8" s="5" t="s">
        <v>50</v>
      </c>
      <c r="D8" s="5" t="s">
        <v>289</v>
      </c>
      <c r="E8" s="5">
        <v>7558.0</v>
      </c>
      <c r="G8" s="3" t="s">
        <v>292</v>
      </c>
      <c r="H8" s="4"/>
    </row>
    <row r="9">
      <c r="A9" s="5" t="s">
        <v>296</v>
      </c>
      <c r="B9" s="5" t="s">
        <v>50</v>
      </c>
      <c r="D9" s="5" t="s">
        <v>299</v>
      </c>
      <c r="E9" s="5">
        <v>2733.0</v>
      </c>
      <c r="G9" s="5" t="s">
        <v>300</v>
      </c>
      <c r="H9" s="5">
        <v>450.0</v>
      </c>
    </row>
    <row r="10">
      <c r="A10" s="5" t="s">
        <v>304</v>
      </c>
      <c r="B10" s="5" t="s">
        <v>307</v>
      </c>
      <c r="D10" s="5" t="s">
        <v>308</v>
      </c>
      <c r="E10" s="5">
        <v>1376.0</v>
      </c>
      <c r="G10" s="5" t="s">
        <v>310</v>
      </c>
      <c r="H10" s="5">
        <v>100.0</v>
      </c>
    </row>
    <row r="11">
      <c r="A11" s="5" t="s">
        <v>312</v>
      </c>
      <c r="B11" s="5" t="s">
        <v>50</v>
      </c>
      <c r="D11" s="5" t="s">
        <v>314</v>
      </c>
      <c r="E11" s="5">
        <v>500.0</v>
      </c>
      <c r="G11" s="5" t="s">
        <v>317</v>
      </c>
      <c r="H11" s="5">
        <v>100.0</v>
      </c>
    </row>
    <row r="12">
      <c r="A12" s="5" t="s">
        <v>319</v>
      </c>
      <c r="B12" s="5" t="s">
        <v>50</v>
      </c>
      <c r="D12" s="5" t="s">
        <v>321</v>
      </c>
      <c r="E12" s="5">
        <v>1281.0</v>
      </c>
      <c r="G12" s="5" t="s">
        <v>324</v>
      </c>
      <c r="H12" s="5">
        <v>34.0</v>
      </c>
    </row>
    <row r="13">
      <c r="A13" s="5" t="s">
        <v>327</v>
      </c>
      <c r="B13" s="5" t="s">
        <v>50</v>
      </c>
      <c r="D13" s="5" t="s">
        <v>331</v>
      </c>
      <c r="E13" s="5">
        <v>25.0</v>
      </c>
      <c r="G13" s="5" t="s">
        <v>335</v>
      </c>
      <c r="H13" s="5">
        <v>34.0</v>
      </c>
    </row>
    <row r="14">
      <c r="D14" s="5" t="s">
        <v>339</v>
      </c>
      <c r="E14" s="5">
        <v>437.0</v>
      </c>
      <c r="G14" s="5" t="s">
        <v>342</v>
      </c>
      <c r="H14" s="5">
        <v>24.0</v>
      </c>
    </row>
    <row r="15">
      <c r="A15" s="3" t="s">
        <v>345</v>
      </c>
      <c r="B15" s="4"/>
      <c r="D15" s="5" t="s">
        <v>350</v>
      </c>
      <c r="E15" s="5">
        <v>50.0</v>
      </c>
      <c r="G15" s="5" t="s">
        <v>353</v>
      </c>
      <c r="H15" s="5">
        <v>35.0</v>
      </c>
    </row>
    <row r="16">
      <c r="A16" s="5" t="s">
        <v>356</v>
      </c>
      <c r="B16" s="5" t="s">
        <v>50</v>
      </c>
      <c r="D16" s="5" t="s">
        <v>360</v>
      </c>
      <c r="E16" s="5">
        <v>22.0</v>
      </c>
      <c r="G16" s="5" t="s">
        <v>362</v>
      </c>
      <c r="H16" s="5">
        <v>25.0</v>
      </c>
    </row>
    <row r="17">
      <c r="A17" s="5" t="s">
        <v>365</v>
      </c>
      <c r="B17" s="5" t="s">
        <v>366</v>
      </c>
      <c r="D17" s="5" t="s">
        <v>369</v>
      </c>
      <c r="E17" s="5" t="s">
        <v>370</v>
      </c>
      <c r="G17" s="5" t="s">
        <v>372</v>
      </c>
      <c r="H17" s="5">
        <v>100.0</v>
      </c>
    </row>
    <row r="18">
      <c r="A18" s="5" t="s">
        <v>374</v>
      </c>
      <c r="B18" s="5" t="s">
        <v>50</v>
      </c>
      <c r="D18" s="5" t="s">
        <v>375</v>
      </c>
      <c r="E18" s="5">
        <v>4384.0</v>
      </c>
      <c r="G18" s="5" t="s">
        <v>377</v>
      </c>
      <c r="H18" s="5">
        <v>100.0</v>
      </c>
    </row>
    <row r="19">
      <c r="A19" s="5" t="s">
        <v>379</v>
      </c>
      <c r="B19" s="5" t="s">
        <v>366</v>
      </c>
      <c r="G19" s="5" t="s">
        <v>382</v>
      </c>
      <c r="H19" s="5">
        <v>100.0</v>
      </c>
    </row>
    <row r="20">
      <c r="A20" s="5" t="s">
        <v>384</v>
      </c>
      <c r="B20" s="5" t="s">
        <v>50</v>
      </c>
      <c r="D20" s="3" t="s">
        <v>385</v>
      </c>
      <c r="E20" s="4"/>
      <c r="G20" s="5" t="s">
        <v>389</v>
      </c>
      <c r="H20" s="5">
        <v>100.0</v>
      </c>
    </row>
    <row r="21">
      <c r="A21" s="5" t="s">
        <v>392</v>
      </c>
      <c r="B21" s="5" t="s">
        <v>50</v>
      </c>
      <c r="D21" s="5" t="s">
        <v>394</v>
      </c>
      <c r="E21" s="5">
        <v>85.0</v>
      </c>
      <c r="G21" s="5" t="s">
        <v>395</v>
      </c>
      <c r="H21" s="5">
        <v>100.0</v>
      </c>
    </row>
    <row r="22">
      <c r="A22" s="5" t="s">
        <v>398</v>
      </c>
      <c r="B22" s="5" t="s">
        <v>50</v>
      </c>
      <c r="D22" s="5" t="s">
        <v>401</v>
      </c>
      <c r="E22" s="5">
        <v>5177.0</v>
      </c>
      <c r="G22" s="5" t="s">
        <v>403</v>
      </c>
      <c r="H22" s="5">
        <v>500.0</v>
      </c>
    </row>
    <row r="23">
      <c r="A23" s="5" t="s">
        <v>406</v>
      </c>
      <c r="B23" s="5" t="s">
        <v>50</v>
      </c>
      <c r="D23" s="5" t="s">
        <v>408</v>
      </c>
      <c r="E23" s="5">
        <v>465.0</v>
      </c>
      <c r="G23" s="5" t="s">
        <v>410</v>
      </c>
      <c r="H23" s="5">
        <v>50.0</v>
      </c>
    </row>
    <row r="24">
      <c r="D24" s="5" t="s">
        <v>414</v>
      </c>
      <c r="E24" s="5">
        <v>51.0</v>
      </c>
      <c r="G24" s="5" t="s">
        <v>416</v>
      </c>
      <c r="H24" s="5">
        <v>100.0</v>
      </c>
    </row>
    <row r="25">
      <c r="A25" s="3" t="s">
        <v>419</v>
      </c>
      <c r="B25" s="4"/>
      <c r="D25" s="5" t="s">
        <v>424</v>
      </c>
      <c r="E25" s="5">
        <v>51.0</v>
      </c>
      <c r="G25" s="5" t="s">
        <v>425</v>
      </c>
      <c r="H25" s="5">
        <v>100.0</v>
      </c>
    </row>
    <row r="26">
      <c r="A26" s="3" t="s">
        <v>426</v>
      </c>
      <c r="B26" s="4"/>
      <c r="D26" s="5" t="s">
        <v>428</v>
      </c>
      <c r="E26" s="5">
        <v>1.0</v>
      </c>
    </row>
    <row r="27">
      <c r="A27" s="5" t="s">
        <v>430</v>
      </c>
      <c r="B27" s="5" t="s">
        <v>344</v>
      </c>
      <c r="D27" s="5" t="s">
        <v>432</v>
      </c>
      <c r="E27" s="5">
        <v>1.0</v>
      </c>
    </row>
    <row r="28">
      <c r="A28" s="5" t="s">
        <v>434</v>
      </c>
      <c r="B28" s="5" t="s">
        <v>344</v>
      </c>
    </row>
    <row r="29">
      <c r="A29" s="5" t="s">
        <v>438</v>
      </c>
      <c r="B29" s="5" t="s">
        <v>322</v>
      </c>
      <c r="D29" s="3" t="s">
        <v>439</v>
      </c>
      <c r="E29" s="4"/>
    </row>
    <row r="30">
      <c r="A30" s="5" t="s">
        <v>442</v>
      </c>
      <c r="B30" s="5" t="s">
        <v>344</v>
      </c>
      <c r="D30" s="5" t="s">
        <v>445</v>
      </c>
      <c r="E30" s="5" t="s">
        <v>446</v>
      </c>
    </row>
    <row r="31">
      <c r="A31" s="5" t="s">
        <v>448</v>
      </c>
      <c r="B31" s="5" t="s">
        <v>344</v>
      </c>
      <c r="D31" s="5" t="s">
        <v>449</v>
      </c>
      <c r="E31" s="5" t="s">
        <v>450</v>
      </c>
    </row>
    <row r="32">
      <c r="A32" s="5" t="s">
        <v>451</v>
      </c>
      <c r="B32" s="5" t="s">
        <v>452</v>
      </c>
      <c r="D32" s="5" t="s">
        <v>454</v>
      </c>
      <c r="E32" s="5" t="s">
        <v>455</v>
      </c>
    </row>
    <row r="33">
      <c r="A33" s="5" t="s">
        <v>456</v>
      </c>
      <c r="B33" s="5" t="s">
        <v>333</v>
      </c>
      <c r="D33" s="5" t="s">
        <v>458</v>
      </c>
      <c r="E33" s="5" t="s">
        <v>450</v>
      </c>
    </row>
    <row r="34">
      <c r="A34" s="5" t="s">
        <v>461</v>
      </c>
      <c r="B34" s="5" t="s">
        <v>344</v>
      </c>
      <c r="D34" s="5" t="s">
        <v>462</v>
      </c>
      <c r="E34" s="5" t="s">
        <v>450</v>
      </c>
    </row>
    <row r="35">
      <c r="A35" s="5" t="s">
        <v>465</v>
      </c>
      <c r="B35" s="5" t="s">
        <v>344</v>
      </c>
      <c r="D35" s="5" t="s">
        <v>467</v>
      </c>
      <c r="E35" s="5" t="s">
        <v>469</v>
      </c>
    </row>
    <row r="36">
      <c r="A36" s="3" t="s">
        <v>470</v>
      </c>
      <c r="B36" s="4"/>
      <c r="D36" s="5" t="s">
        <v>474</v>
      </c>
      <c r="E36" s="5" t="s">
        <v>476</v>
      </c>
    </row>
    <row r="37">
      <c r="A37" s="5" t="s">
        <v>478</v>
      </c>
      <c r="B37" s="5" t="s">
        <v>479</v>
      </c>
      <c r="D37" s="5" t="s">
        <v>480</v>
      </c>
      <c r="E37" s="5" t="s">
        <v>481</v>
      </c>
    </row>
    <row r="38">
      <c r="A38" s="5" t="s">
        <v>482</v>
      </c>
      <c r="B38" s="5" t="s">
        <v>484</v>
      </c>
      <c r="D38" s="5" t="s">
        <v>486</v>
      </c>
      <c r="E38" s="5" t="s">
        <v>481</v>
      </c>
    </row>
    <row r="39">
      <c r="A39" s="5" t="s">
        <v>489</v>
      </c>
      <c r="B39" s="5" t="s">
        <v>491</v>
      </c>
      <c r="D39" s="5" t="s">
        <v>492</v>
      </c>
      <c r="E39" s="5" t="s">
        <v>481</v>
      </c>
    </row>
    <row r="40">
      <c r="A40" s="5" t="s">
        <v>494</v>
      </c>
      <c r="B40" s="5" t="s">
        <v>496</v>
      </c>
      <c r="D40" s="5" t="s">
        <v>497</v>
      </c>
      <c r="E40" s="5" t="s">
        <v>481</v>
      </c>
    </row>
    <row r="41">
      <c r="A41" s="5" t="s">
        <v>499</v>
      </c>
      <c r="B41" s="5" t="s">
        <v>501</v>
      </c>
    </row>
    <row r="42">
      <c r="D42" s="3" t="s">
        <v>503</v>
      </c>
      <c r="E42" s="4"/>
    </row>
    <row r="43">
      <c r="A43" s="3" t="s">
        <v>506</v>
      </c>
      <c r="B43" s="4"/>
      <c r="D43" s="3" t="s">
        <v>508</v>
      </c>
      <c r="E43" s="4"/>
    </row>
    <row r="44">
      <c r="A44" s="5" t="s">
        <v>511</v>
      </c>
      <c r="B44" s="5" t="s">
        <v>513</v>
      </c>
      <c r="D44" s="5" t="s">
        <v>514</v>
      </c>
      <c r="E44" s="5">
        <v>10000.0</v>
      </c>
    </row>
    <row r="45">
      <c r="A45" s="5" t="s">
        <v>515</v>
      </c>
      <c r="B45" s="5" t="s">
        <v>516</v>
      </c>
      <c r="D45" s="5" t="s">
        <v>518</v>
      </c>
      <c r="E45" s="5">
        <v>250.0</v>
      </c>
    </row>
    <row r="46">
      <c r="A46" s="5" t="s">
        <v>520</v>
      </c>
      <c r="B46" s="5" t="s">
        <v>513</v>
      </c>
      <c r="D46" s="5" t="s">
        <v>522</v>
      </c>
      <c r="E46" s="5">
        <v>0.0</v>
      </c>
    </row>
    <row r="47">
      <c r="A47" s="5" t="s">
        <v>524</v>
      </c>
      <c r="B47" s="5" t="s">
        <v>525</v>
      </c>
      <c r="D47" s="5" t="s">
        <v>526</v>
      </c>
      <c r="E47" s="5">
        <v>450.0</v>
      </c>
    </row>
    <row r="48">
      <c r="A48" s="5" t="s">
        <v>528</v>
      </c>
      <c r="B48" s="5" t="s">
        <v>513</v>
      </c>
      <c r="D48" s="3" t="s">
        <v>530</v>
      </c>
      <c r="E48" s="4"/>
    </row>
    <row r="49">
      <c r="A49" s="5" t="s">
        <v>531</v>
      </c>
      <c r="B49" s="5" t="s">
        <v>532</v>
      </c>
      <c r="D49" s="5" t="s">
        <v>533</v>
      </c>
      <c r="E49" s="5">
        <v>100.0</v>
      </c>
    </row>
    <row r="50">
      <c r="A50" s="5" t="s">
        <v>535</v>
      </c>
      <c r="B50" s="5" t="s">
        <v>513</v>
      </c>
      <c r="D50" s="5" t="s">
        <v>537</v>
      </c>
      <c r="E50" s="5">
        <v>250.0</v>
      </c>
    </row>
    <row r="51">
      <c r="A51" s="5" t="s">
        <v>538</v>
      </c>
      <c r="B51" s="5" t="s">
        <v>539</v>
      </c>
      <c r="D51" s="5" t="s">
        <v>541</v>
      </c>
      <c r="E51" s="5">
        <v>9500.0</v>
      </c>
    </row>
    <row r="52">
      <c r="A52" s="5" t="s">
        <v>542</v>
      </c>
      <c r="B52" s="5" t="s">
        <v>370</v>
      </c>
      <c r="D52" s="5" t="s">
        <v>544</v>
      </c>
      <c r="E52" s="5">
        <v>100.0</v>
      </c>
    </row>
    <row r="53">
      <c r="D53" s="5" t="s">
        <v>545</v>
      </c>
      <c r="E53" s="5">
        <v>50.0</v>
      </c>
    </row>
    <row r="54">
      <c r="D54" s="3" t="s">
        <v>547</v>
      </c>
      <c r="E54" s="4"/>
    </row>
    <row r="55">
      <c r="D55" s="5" t="s">
        <v>549</v>
      </c>
      <c r="E55" s="5">
        <v>0.0</v>
      </c>
    </row>
    <row r="56">
      <c r="D56" s="5" t="s">
        <v>551</v>
      </c>
      <c r="E56" s="5">
        <v>5.0</v>
      </c>
    </row>
    <row r="57">
      <c r="D57" s="5" t="s">
        <v>552</v>
      </c>
      <c r="E57" s="5">
        <v>0.0</v>
      </c>
    </row>
    <row r="58">
      <c r="D58" s="5" t="s">
        <v>553</v>
      </c>
      <c r="E58" s="5">
        <v>0.0</v>
      </c>
    </row>
    <row r="59">
      <c r="D59" s="5" t="s">
        <v>554</v>
      </c>
      <c r="E59" s="5">
        <v>100.0</v>
      </c>
    </row>
    <row r="60">
      <c r="D60" s="5" t="s">
        <v>556</v>
      </c>
      <c r="E60" s="5">
        <v>50.0</v>
      </c>
    </row>
  </sheetData>
  <mergeCells count="17">
    <mergeCell ref="A1:B1"/>
    <mergeCell ref="D1:E1"/>
    <mergeCell ref="G1:H1"/>
    <mergeCell ref="D2:E2"/>
    <mergeCell ref="D7:E7"/>
    <mergeCell ref="G8:H8"/>
    <mergeCell ref="D20:E20"/>
    <mergeCell ref="D43:E43"/>
    <mergeCell ref="D48:E48"/>
    <mergeCell ref="D54:E54"/>
    <mergeCell ref="A15:B15"/>
    <mergeCell ref="A25:B25"/>
    <mergeCell ref="A26:B26"/>
    <mergeCell ref="D29:E29"/>
    <mergeCell ref="A36:B36"/>
    <mergeCell ref="D42:E42"/>
    <mergeCell ref="A43:B4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75"/>
    <col customWidth="1" min="4" max="4" width="41.25"/>
    <col customWidth="1" min="7" max="7" width="43.25"/>
  </cols>
  <sheetData>
    <row r="1">
      <c r="A1" s="3" t="s">
        <v>243</v>
      </c>
      <c r="B1" s="4"/>
      <c r="D1" s="3" t="s">
        <v>254</v>
      </c>
      <c r="E1" s="4"/>
      <c r="G1" s="3" t="s">
        <v>261</v>
      </c>
      <c r="H1" s="4"/>
    </row>
    <row r="2">
      <c r="A2" s="5" t="s">
        <v>271</v>
      </c>
      <c r="B2" s="5" t="s">
        <v>273</v>
      </c>
      <c r="D2" s="5" t="s">
        <v>275</v>
      </c>
      <c r="E2" s="5" t="s">
        <v>278</v>
      </c>
      <c r="G2" s="5" t="s">
        <v>281</v>
      </c>
      <c r="H2" s="5" t="s">
        <v>273</v>
      </c>
    </row>
    <row r="3">
      <c r="A3" s="5" t="s">
        <v>285</v>
      </c>
      <c r="B3" s="5" t="s">
        <v>273</v>
      </c>
      <c r="D3" s="5" t="s">
        <v>288</v>
      </c>
      <c r="E3" s="5" t="s">
        <v>50</v>
      </c>
      <c r="G3" s="5" t="s">
        <v>290</v>
      </c>
      <c r="H3" s="5" t="s">
        <v>273</v>
      </c>
    </row>
    <row r="4">
      <c r="A4" s="5" t="s">
        <v>293</v>
      </c>
      <c r="B4" s="5" t="s">
        <v>273</v>
      </c>
      <c r="D4" s="5" t="s">
        <v>295</v>
      </c>
      <c r="E4" s="5" t="s">
        <v>273</v>
      </c>
      <c r="G4" s="5" t="s">
        <v>298</v>
      </c>
      <c r="H4" s="5" t="s">
        <v>273</v>
      </c>
    </row>
    <row r="5">
      <c r="A5" s="5" t="s">
        <v>302</v>
      </c>
      <c r="B5" s="5" t="s">
        <v>273</v>
      </c>
      <c r="D5" s="5" t="s">
        <v>305</v>
      </c>
      <c r="E5" s="5" t="s">
        <v>50</v>
      </c>
      <c r="G5" s="5" t="s">
        <v>309</v>
      </c>
      <c r="H5" s="5" t="s">
        <v>273</v>
      </c>
    </row>
    <row r="6">
      <c r="A6" s="5" t="s">
        <v>311</v>
      </c>
      <c r="B6" s="5" t="s">
        <v>50</v>
      </c>
      <c r="D6" s="5" t="s">
        <v>313</v>
      </c>
      <c r="E6" s="5" t="s">
        <v>50</v>
      </c>
      <c r="G6" s="5" t="s">
        <v>318</v>
      </c>
      <c r="H6" s="5" t="s">
        <v>273</v>
      </c>
    </row>
    <row r="7">
      <c r="A7" s="5" t="s">
        <v>323</v>
      </c>
      <c r="B7" s="5" t="s">
        <v>273</v>
      </c>
      <c r="D7" s="5" t="s">
        <v>326</v>
      </c>
      <c r="E7" s="5" t="s">
        <v>273</v>
      </c>
    </row>
    <row r="8">
      <c r="A8" s="5" t="s">
        <v>332</v>
      </c>
      <c r="B8" s="5" t="s">
        <v>273</v>
      </c>
      <c r="D8" s="5" t="s">
        <v>338</v>
      </c>
      <c r="E8" s="5" t="s">
        <v>273</v>
      </c>
      <c r="G8" s="3" t="s">
        <v>343</v>
      </c>
      <c r="H8" s="4"/>
    </row>
    <row r="9">
      <c r="A9" s="5" t="s">
        <v>361</v>
      </c>
      <c r="B9" s="14">
        <v>0.0</v>
      </c>
      <c r="D9" s="5" t="s">
        <v>396</v>
      </c>
      <c r="E9" s="5" t="s">
        <v>50</v>
      </c>
      <c r="G9" s="5" t="s">
        <v>400</v>
      </c>
      <c r="H9" s="5" t="s">
        <v>273</v>
      </c>
    </row>
    <row r="10">
      <c r="A10" s="5" t="s">
        <v>404</v>
      </c>
      <c r="B10" s="5" t="s">
        <v>50</v>
      </c>
      <c r="D10" s="5" t="s">
        <v>407</v>
      </c>
      <c r="E10" s="5" t="s">
        <v>50</v>
      </c>
      <c r="G10" s="5" t="s">
        <v>411</v>
      </c>
      <c r="H10" s="5" t="s">
        <v>273</v>
      </c>
    </row>
    <row r="11">
      <c r="A11" s="5" t="s">
        <v>415</v>
      </c>
      <c r="B11" s="5" t="s">
        <v>50</v>
      </c>
      <c r="G11" s="5" t="s">
        <v>417</v>
      </c>
      <c r="H11" s="5" t="s">
        <v>273</v>
      </c>
    </row>
    <row r="12">
      <c r="A12" s="5" t="s">
        <v>421</v>
      </c>
      <c r="B12" s="5" t="s">
        <v>50</v>
      </c>
      <c r="D12" s="3" t="s">
        <v>423</v>
      </c>
      <c r="E12" s="4"/>
      <c r="G12" s="5" t="s">
        <v>427</v>
      </c>
      <c r="H12" s="5" t="s">
        <v>273</v>
      </c>
    </row>
    <row r="13">
      <c r="A13" s="5" t="s">
        <v>361</v>
      </c>
      <c r="B13" s="5" t="s">
        <v>50</v>
      </c>
      <c r="D13" s="5" t="s">
        <v>429</v>
      </c>
      <c r="E13" s="5" t="s">
        <v>50</v>
      </c>
      <c r="G13" s="5" t="s">
        <v>431</v>
      </c>
      <c r="H13" s="5" t="s">
        <v>273</v>
      </c>
    </row>
    <row r="14">
      <c r="A14" s="5" t="s">
        <v>433</v>
      </c>
      <c r="B14" s="5" t="s">
        <v>273</v>
      </c>
      <c r="D14" s="5" t="s">
        <v>435</v>
      </c>
      <c r="E14" s="5" t="s">
        <v>436</v>
      </c>
      <c r="G14" s="5" t="s">
        <v>437</v>
      </c>
      <c r="H14" s="5" t="s">
        <v>273</v>
      </c>
    </row>
    <row r="15">
      <c r="A15" s="5" t="s">
        <v>440</v>
      </c>
      <c r="B15" s="5" t="s">
        <v>50</v>
      </c>
      <c r="D15" s="5" t="s">
        <v>441</v>
      </c>
      <c r="E15" s="5" t="s">
        <v>278</v>
      </c>
    </row>
    <row r="16">
      <c r="A16" s="5" t="s">
        <v>443</v>
      </c>
      <c r="B16" s="14">
        <v>0.0</v>
      </c>
      <c r="D16" s="5" t="s">
        <v>444</v>
      </c>
      <c r="E16" s="5" t="s">
        <v>273</v>
      </c>
      <c r="G16" s="3" t="s">
        <v>447</v>
      </c>
      <c r="H16" s="4"/>
    </row>
    <row r="17">
      <c r="A17" s="5" t="s">
        <v>453</v>
      </c>
      <c r="B17" s="5" t="s">
        <v>278</v>
      </c>
      <c r="D17" s="5" t="s">
        <v>457</v>
      </c>
      <c r="E17" s="5" t="s">
        <v>459</v>
      </c>
      <c r="G17" s="5" t="s">
        <v>460</v>
      </c>
      <c r="H17" s="5" t="s">
        <v>351</v>
      </c>
    </row>
    <row r="18">
      <c r="A18" s="5" t="s">
        <v>463</v>
      </c>
      <c r="B18" s="5" t="s">
        <v>464</v>
      </c>
      <c r="D18" s="5" t="s">
        <v>466</v>
      </c>
      <c r="E18" s="5" t="s">
        <v>459</v>
      </c>
      <c r="G18" s="5" t="s">
        <v>468</v>
      </c>
      <c r="H18" s="5" t="s">
        <v>351</v>
      </c>
    </row>
    <row r="19">
      <c r="A19" s="5" t="s">
        <v>471</v>
      </c>
      <c r="B19" s="5" t="s">
        <v>50</v>
      </c>
      <c r="G19" s="5" t="s">
        <v>472</v>
      </c>
      <c r="H19" s="5" t="s">
        <v>473</v>
      </c>
    </row>
    <row r="20">
      <c r="A20" s="5" t="s">
        <v>475</v>
      </c>
      <c r="B20" s="5" t="s">
        <v>50</v>
      </c>
      <c r="D20" s="3" t="s">
        <v>477</v>
      </c>
      <c r="E20" s="4"/>
      <c r="G20" s="5" t="s">
        <v>483</v>
      </c>
      <c r="H20" s="5" t="s">
        <v>485</v>
      </c>
    </row>
    <row r="21">
      <c r="A21" s="5" t="s">
        <v>487</v>
      </c>
      <c r="B21" s="5" t="s">
        <v>50</v>
      </c>
      <c r="D21" s="5" t="s">
        <v>488</v>
      </c>
      <c r="E21" s="5" t="s">
        <v>50</v>
      </c>
      <c r="G21" s="5" t="s">
        <v>490</v>
      </c>
      <c r="H21" s="5" t="s">
        <v>351</v>
      </c>
    </row>
    <row r="22">
      <c r="A22" s="5" t="s">
        <v>493</v>
      </c>
      <c r="B22" s="5" t="s">
        <v>50</v>
      </c>
      <c r="D22" s="5" t="s">
        <v>495</v>
      </c>
      <c r="E22" s="5" t="s">
        <v>273</v>
      </c>
      <c r="G22" s="5" t="s">
        <v>498</v>
      </c>
      <c r="H22" s="5" t="s">
        <v>500</v>
      </c>
    </row>
    <row r="23">
      <c r="A23" s="5" t="s">
        <v>502</v>
      </c>
      <c r="B23" s="5" t="s">
        <v>50</v>
      </c>
      <c r="D23" s="5" t="s">
        <v>504</v>
      </c>
      <c r="E23" s="5" t="s">
        <v>273</v>
      </c>
      <c r="G23" s="5" t="s">
        <v>505</v>
      </c>
      <c r="H23" s="5" t="s">
        <v>344</v>
      </c>
    </row>
    <row r="24">
      <c r="D24" s="5" t="s">
        <v>507</v>
      </c>
      <c r="E24" s="5" t="s">
        <v>273</v>
      </c>
      <c r="G24" s="5" t="s">
        <v>509</v>
      </c>
      <c r="H24" s="5" t="s">
        <v>510</v>
      </c>
    </row>
    <row r="25">
      <c r="A25" s="3" t="s">
        <v>512</v>
      </c>
      <c r="B25" s="4"/>
      <c r="D25" s="5" t="s">
        <v>517</v>
      </c>
      <c r="E25" s="5" t="s">
        <v>273</v>
      </c>
      <c r="G25" s="5" t="s">
        <v>519</v>
      </c>
      <c r="H25" s="5" t="s">
        <v>521</v>
      </c>
    </row>
    <row r="26">
      <c r="A26" s="5" t="s">
        <v>523</v>
      </c>
      <c r="B26" s="5" t="s">
        <v>273</v>
      </c>
    </row>
    <row r="27">
      <c r="A27" s="5" t="s">
        <v>527</v>
      </c>
      <c r="B27" s="5" t="s">
        <v>273</v>
      </c>
      <c r="D27" s="3" t="s">
        <v>529</v>
      </c>
      <c r="E27" s="4"/>
    </row>
    <row r="28">
      <c r="A28" s="5" t="s">
        <v>534</v>
      </c>
      <c r="B28" s="5" t="s">
        <v>273</v>
      </c>
      <c r="D28" s="5" t="s">
        <v>536</v>
      </c>
      <c r="E28" s="5" t="s">
        <v>273</v>
      </c>
    </row>
    <row r="29">
      <c r="A29" s="5" t="s">
        <v>540</v>
      </c>
      <c r="B29" s="5" t="s">
        <v>273</v>
      </c>
      <c r="D29" s="5" t="s">
        <v>543</v>
      </c>
      <c r="E29" s="5" t="s">
        <v>273</v>
      </c>
    </row>
    <row r="30">
      <c r="A30" s="5" t="s">
        <v>502</v>
      </c>
      <c r="B30" s="5" t="s">
        <v>50</v>
      </c>
      <c r="D30" s="5" t="s">
        <v>546</v>
      </c>
      <c r="E30" s="5" t="s">
        <v>273</v>
      </c>
    </row>
    <row r="31">
      <c r="D31" s="5" t="s">
        <v>548</v>
      </c>
      <c r="E31" s="5" t="s">
        <v>273</v>
      </c>
    </row>
    <row r="32">
      <c r="A32" s="3" t="s">
        <v>550</v>
      </c>
      <c r="B32" s="4"/>
    </row>
    <row r="33">
      <c r="A33" s="5" t="s">
        <v>555</v>
      </c>
      <c r="B33" s="5" t="s">
        <v>273</v>
      </c>
      <c r="D33" s="3" t="s">
        <v>557</v>
      </c>
      <c r="E33" s="4"/>
    </row>
    <row r="34">
      <c r="A34" s="5" t="s">
        <v>558</v>
      </c>
      <c r="B34" s="5" t="s">
        <v>273</v>
      </c>
      <c r="D34" s="5" t="s">
        <v>559</v>
      </c>
      <c r="E34" s="5" t="s">
        <v>273</v>
      </c>
    </row>
    <row r="35">
      <c r="A35" s="5" t="s">
        <v>560</v>
      </c>
      <c r="B35" s="5" t="s">
        <v>273</v>
      </c>
      <c r="D35" s="5" t="s">
        <v>561</v>
      </c>
      <c r="E35" s="5" t="s">
        <v>273</v>
      </c>
    </row>
    <row r="36">
      <c r="A36" s="5" t="s">
        <v>562</v>
      </c>
      <c r="B36" s="5" t="s">
        <v>273</v>
      </c>
      <c r="D36" s="5" t="s">
        <v>563</v>
      </c>
      <c r="E36" s="5" t="s">
        <v>273</v>
      </c>
    </row>
    <row r="37">
      <c r="A37" s="5" t="s">
        <v>564</v>
      </c>
      <c r="B37" s="5" t="s">
        <v>50</v>
      </c>
      <c r="D37" s="5" t="s">
        <v>565</v>
      </c>
      <c r="E37" s="5" t="s">
        <v>273</v>
      </c>
    </row>
    <row r="38">
      <c r="D38" s="5" t="s">
        <v>566</v>
      </c>
      <c r="E38" s="5" t="s">
        <v>344</v>
      </c>
    </row>
    <row r="39">
      <c r="A39" s="3" t="s">
        <v>567</v>
      </c>
      <c r="B39" s="4"/>
    </row>
    <row r="40">
      <c r="A40" s="5" t="s">
        <v>568</v>
      </c>
      <c r="B40" s="5" t="s">
        <v>273</v>
      </c>
      <c r="D40" s="3" t="s">
        <v>569</v>
      </c>
      <c r="E40" s="4"/>
    </row>
    <row r="41">
      <c r="A41" s="5" t="s">
        <v>570</v>
      </c>
      <c r="B41" s="5" t="s">
        <v>273</v>
      </c>
      <c r="D41" s="5" t="s">
        <v>571</v>
      </c>
      <c r="E41" s="5" t="s">
        <v>50</v>
      </c>
    </row>
    <row r="42">
      <c r="A42" s="5" t="s">
        <v>572</v>
      </c>
      <c r="B42" s="5" t="s">
        <v>273</v>
      </c>
      <c r="D42" s="5" t="s">
        <v>573</v>
      </c>
      <c r="E42" s="5" t="s">
        <v>50</v>
      </c>
    </row>
    <row r="43">
      <c r="A43" s="5" t="s">
        <v>564</v>
      </c>
      <c r="B43" s="5" t="s">
        <v>50</v>
      </c>
      <c r="D43" s="5" t="s">
        <v>574</v>
      </c>
      <c r="E43" s="5" t="s">
        <v>50</v>
      </c>
    </row>
    <row r="44">
      <c r="D44" s="5" t="s">
        <v>575</v>
      </c>
      <c r="E44" s="5" t="s">
        <v>50</v>
      </c>
    </row>
    <row r="45">
      <c r="A45" s="3" t="s">
        <v>576</v>
      </c>
      <c r="B45" s="4"/>
      <c r="D45" s="5" t="s">
        <v>577</v>
      </c>
      <c r="E45" s="5" t="s">
        <v>50</v>
      </c>
    </row>
    <row r="46">
      <c r="A46" s="5" t="s">
        <v>578</v>
      </c>
      <c r="B46" s="5" t="s">
        <v>50</v>
      </c>
      <c r="D46" s="5" t="s">
        <v>579</v>
      </c>
      <c r="E46" s="5" t="s">
        <v>50</v>
      </c>
    </row>
    <row r="47">
      <c r="A47" s="5" t="s">
        <v>580</v>
      </c>
      <c r="B47" s="5" t="s">
        <v>50</v>
      </c>
      <c r="D47" s="5" t="s">
        <v>581</v>
      </c>
      <c r="E47" s="5" t="s">
        <v>50</v>
      </c>
    </row>
    <row r="48">
      <c r="A48" s="5" t="s">
        <v>582</v>
      </c>
      <c r="B48" s="5" t="s">
        <v>50</v>
      </c>
      <c r="D48" s="5" t="s">
        <v>583</v>
      </c>
      <c r="E48" s="5" t="s">
        <v>50</v>
      </c>
    </row>
    <row r="49">
      <c r="A49" s="5" t="s">
        <v>584</v>
      </c>
      <c r="B49" s="5" t="s">
        <v>50</v>
      </c>
      <c r="D49" s="5" t="s">
        <v>585</v>
      </c>
      <c r="E49" s="5" t="s">
        <v>344</v>
      </c>
    </row>
    <row r="50">
      <c r="D50" s="5" t="s">
        <v>586</v>
      </c>
      <c r="E50" s="5" t="s">
        <v>344</v>
      </c>
    </row>
    <row r="51">
      <c r="D51" s="5" t="s">
        <v>587</v>
      </c>
      <c r="E51" s="5" t="s">
        <v>344</v>
      </c>
    </row>
    <row r="52">
      <c r="D52" s="5" t="s">
        <v>588</v>
      </c>
      <c r="E52" s="5" t="s">
        <v>344</v>
      </c>
    </row>
    <row r="53">
      <c r="D53" s="5" t="s">
        <v>589</v>
      </c>
      <c r="E53" s="5" t="s">
        <v>50</v>
      </c>
    </row>
    <row r="54">
      <c r="D54" s="5" t="s">
        <v>590</v>
      </c>
      <c r="E54" s="5" t="s">
        <v>50</v>
      </c>
    </row>
    <row r="55">
      <c r="D55" s="5" t="s">
        <v>591</v>
      </c>
      <c r="E55" s="5" t="s">
        <v>50</v>
      </c>
    </row>
    <row r="56">
      <c r="D56" s="5" t="s">
        <v>592</v>
      </c>
      <c r="E56" s="5" t="s">
        <v>50</v>
      </c>
    </row>
    <row r="57">
      <c r="D57" s="5" t="s">
        <v>593</v>
      </c>
      <c r="E57" s="5" t="s">
        <v>50</v>
      </c>
    </row>
    <row r="58">
      <c r="D58" s="5" t="s">
        <v>594</v>
      </c>
      <c r="E58" s="5" t="s">
        <v>50</v>
      </c>
    </row>
    <row r="59">
      <c r="D59" s="5" t="s">
        <v>595</v>
      </c>
      <c r="E59" s="5" t="s">
        <v>50</v>
      </c>
    </row>
    <row r="60">
      <c r="D60" s="5" t="s">
        <v>596</v>
      </c>
      <c r="E60" s="5" t="s">
        <v>50</v>
      </c>
    </row>
    <row r="61">
      <c r="D61" s="5" t="s">
        <v>597</v>
      </c>
      <c r="E61" s="5" t="s">
        <v>50</v>
      </c>
    </row>
    <row r="62">
      <c r="D62" s="5" t="s">
        <v>598</v>
      </c>
      <c r="E62" s="5" t="s">
        <v>50</v>
      </c>
    </row>
    <row r="63">
      <c r="D63" s="5" t="s">
        <v>599</v>
      </c>
      <c r="E63" s="5" t="s">
        <v>50</v>
      </c>
    </row>
    <row r="64">
      <c r="D64" s="5" t="s">
        <v>600</v>
      </c>
      <c r="E64" s="5" t="s">
        <v>50</v>
      </c>
    </row>
    <row r="65">
      <c r="D65" s="5" t="s">
        <v>601</v>
      </c>
      <c r="E65" s="5" t="s">
        <v>50</v>
      </c>
    </row>
    <row r="66">
      <c r="D66" s="5" t="s">
        <v>602</v>
      </c>
      <c r="E66" s="5" t="s">
        <v>50</v>
      </c>
    </row>
    <row r="67">
      <c r="D67" s="5" t="s">
        <v>604</v>
      </c>
      <c r="E67" s="5" t="s">
        <v>50</v>
      </c>
    </row>
    <row r="68">
      <c r="D68" s="5" t="s">
        <v>605</v>
      </c>
      <c r="E68" s="5" t="s">
        <v>50</v>
      </c>
    </row>
    <row r="69">
      <c r="D69" s="5" t="s">
        <v>606</v>
      </c>
      <c r="E69" s="5" t="s">
        <v>50</v>
      </c>
    </row>
    <row r="70">
      <c r="D70" s="5" t="s">
        <v>608</v>
      </c>
      <c r="E70" s="5" t="s">
        <v>50</v>
      </c>
    </row>
    <row r="71">
      <c r="D71" s="5" t="s">
        <v>609</v>
      </c>
      <c r="E71" s="5" t="s">
        <v>50</v>
      </c>
    </row>
    <row r="72">
      <c r="D72" s="5" t="s">
        <v>611</v>
      </c>
      <c r="E72" s="5" t="s">
        <v>50</v>
      </c>
    </row>
    <row r="73">
      <c r="D73" s="5" t="s">
        <v>612</v>
      </c>
      <c r="E73" s="5" t="s">
        <v>50</v>
      </c>
    </row>
    <row r="74">
      <c r="D74" s="5" t="s">
        <v>613</v>
      </c>
      <c r="E74" s="5" t="s">
        <v>50</v>
      </c>
    </row>
    <row r="75">
      <c r="D75" s="5" t="s">
        <v>615</v>
      </c>
      <c r="E75" s="5" t="s">
        <v>50</v>
      </c>
    </row>
    <row r="76">
      <c r="D76" s="5" t="s">
        <v>617</v>
      </c>
      <c r="E76" s="5" t="s">
        <v>50</v>
      </c>
    </row>
    <row r="77">
      <c r="D77" s="5" t="s">
        <v>618</v>
      </c>
      <c r="E77" s="5" t="s">
        <v>50</v>
      </c>
    </row>
    <row r="78">
      <c r="D78" s="5" t="s">
        <v>621</v>
      </c>
      <c r="E78" s="5" t="s">
        <v>50</v>
      </c>
    </row>
    <row r="79">
      <c r="D79" s="5" t="s">
        <v>623</v>
      </c>
      <c r="E79" s="5" t="s">
        <v>50</v>
      </c>
    </row>
    <row r="80">
      <c r="D80" s="5" t="s">
        <v>626</v>
      </c>
      <c r="E80" s="5" t="s">
        <v>50</v>
      </c>
    </row>
    <row r="81">
      <c r="D81" s="5" t="s">
        <v>628</v>
      </c>
      <c r="E81" s="5" t="s">
        <v>50</v>
      </c>
    </row>
    <row r="82">
      <c r="D82" s="5" t="s">
        <v>631</v>
      </c>
      <c r="E82" s="5" t="s">
        <v>50</v>
      </c>
    </row>
    <row r="83">
      <c r="D83" s="5" t="s">
        <v>634</v>
      </c>
      <c r="E83" s="5" t="s">
        <v>50</v>
      </c>
    </row>
  </sheetData>
  <mergeCells count="14">
    <mergeCell ref="A25:B25"/>
    <mergeCell ref="D27:E27"/>
    <mergeCell ref="A32:B32"/>
    <mergeCell ref="D33:E33"/>
    <mergeCell ref="A39:B39"/>
    <mergeCell ref="D40:E40"/>
    <mergeCell ref="A45:B45"/>
    <mergeCell ref="A1:B1"/>
    <mergeCell ref="D1:E1"/>
    <mergeCell ref="G1:H1"/>
    <mergeCell ref="G8:H8"/>
    <mergeCell ref="D12:E12"/>
    <mergeCell ref="G16:H16"/>
    <mergeCell ref="D20:E2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</cols>
  <sheetData>
    <row r="1">
      <c r="A1" s="3" t="s">
        <v>315</v>
      </c>
      <c r="B1" s="4"/>
    </row>
    <row r="2">
      <c r="A2" s="5" t="s">
        <v>329</v>
      </c>
      <c r="B2" s="5" t="s">
        <v>334</v>
      </c>
    </row>
    <row r="3">
      <c r="A3" s="5" t="s">
        <v>337</v>
      </c>
      <c r="B3" s="5" t="s">
        <v>340</v>
      </c>
    </row>
    <row r="5">
      <c r="A5" s="3" t="s">
        <v>3</v>
      </c>
      <c r="B5" s="4"/>
    </row>
    <row r="6">
      <c r="A6" s="7" t="s">
        <v>349</v>
      </c>
      <c r="B6" s="7" t="s">
        <v>351</v>
      </c>
    </row>
    <row r="7">
      <c r="A7" s="5" t="s">
        <v>354</v>
      </c>
      <c r="B7" s="5" t="s">
        <v>355</v>
      </c>
    </row>
    <row r="8">
      <c r="A8" s="5" t="s">
        <v>358</v>
      </c>
      <c r="B8" s="5" t="s">
        <v>340</v>
      </c>
    </row>
    <row r="9">
      <c r="A9" s="5" t="s">
        <v>337</v>
      </c>
      <c r="B9" s="5" t="s">
        <v>364</v>
      </c>
    </row>
    <row r="11">
      <c r="A11" s="7" t="s">
        <v>367</v>
      </c>
      <c r="B11" s="7" t="s">
        <v>351</v>
      </c>
    </row>
    <row r="12">
      <c r="A12" s="5" t="s">
        <v>354</v>
      </c>
      <c r="B12" s="5" t="s">
        <v>355</v>
      </c>
    </row>
    <row r="13">
      <c r="A13" s="5" t="s">
        <v>358</v>
      </c>
      <c r="B13" s="5" t="s">
        <v>340</v>
      </c>
    </row>
    <row r="14">
      <c r="A14" s="5" t="s">
        <v>337</v>
      </c>
      <c r="B14" s="5" t="s">
        <v>378</v>
      </c>
    </row>
    <row r="16">
      <c r="A16" s="7" t="s">
        <v>381</v>
      </c>
      <c r="B16" s="7" t="s">
        <v>351</v>
      </c>
    </row>
    <row r="17">
      <c r="A17" s="5" t="s">
        <v>354</v>
      </c>
      <c r="B17" s="5" t="s">
        <v>355</v>
      </c>
    </row>
    <row r="18">
      <c r="A18" s="5" t="s">
        <v>358</v>
      </c>
      <c r="B18" s="5" t="s">
        <v>340</v>
      </c>
    </row>
    <row r="19">
      <c r="A19" s="5" t="s">
        <v>337</v>
      </c>
      <c r="B19" s="5" t="s">
        <v>386</v>
      </c>
    </row>
    <row r="21">
      <c r="A21" s="7" t="s">
        <v>388</v>
      </c>
      <c r="B21" s="7" t="s">
        <v>351</v>
      </c>
    </row>
    <row r="22">
      <c r="A22" s="5" t="s">
        <v>354</v>
      </c>
      <c r="B22" s="5" t="s">
        <v>355</v>
      </c>
    </row>
    <row r="23">
      <c r="A23" s="5" t="s">
        <v>358</v>
      </c>
      <c r="B23" s="5" t="s">
        <v>340</v>
      </c>
    </row>
    <row r="24">
      <c r="A24" s="5" t="s">
        <v>337</v>
      </c>
      <c r="B24" s="5" t="s">
        <v>386</v>
      </c>
    </row>
    <row r="26">
      <c r="A26" s="7" t="s">
        <v>399</v>
      </c>
      <c r="B26" s="7" t="s">
        <v>351</v>
      </c>
    </row>
    <row r="27">
      <c r="A27" s="5" t="s">
        <v>354</v>
      </c>
      <c r="B27" s="5" t="s">
        <v>355</v>
      </c>
    </row>
    <row r="28">
      <c r="A28" s="5" t="s">
        <v>358</v>
      </c>
      <c r="B28" s="5" t="s">
        <v>340</v>
      </c>
    </row>
    <row r="29">
      <c r="A29" s="5" t="s">
        <v>337</v>
      </c>
      <c r="B29" s="5" t="s">
        <v>364</v>
      </c>
    </row>
    <row r="31">
      <c r="A31" s="7" t="s">
        <v>412</v>
      </c>
      <c r="B31" s="7" t="s">
        <v>351</v>
      </c>
    </row>
    <row r="32">
      <c r="A32" s="5" t="s">
        <v>354</v>
      </c>
      <c r="B32" s="5" t="s">
        <v>355</v>
      </c>
    </row>
    <row r="33">
      <c r="A33" s="5" t="s">
        <v>358</v>
      </c>
      <c r="B33" s="5" t="s">
        <v>340</v>
      </c>
    </row>
    <row r="34">
      <c r="A34" s="5" t="s">
        <v>337</v>
      </c>
      <c r="B34" s="5" t="s">
        <v>422</v>
      </c>
    </row>
  </sheetData>
  <mergeCells count="2">
    <mergeCell ref="A1:B1"/>
    <mergeCell ref="A5:B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63"/>
    <col customWidth="1" min="4" max="4" width="55.88"/>
    <col customWidth="1" min="7" max="7" width="50.5"/>
  </cols>
  <sheetData>
    <row r="1">
      <c r="A1" s="3" t="s">
        <v>603</v>
      </c>
      <c r="B1" s="4"/>
      <c r="D1" s="3" t="s">
        <v>607</v>
      </c>
      <c r="E1" s="4"/>
      <c r="G1" s="3" t="s">
        <v>610</v>
      </c>
      <c r="H1" s="4"/>
    </row>
    <row r="2">
      <c r="A2" s="5" t="s">
        <v>614</v>
      </c>
      <c r="B2" s="14">
        <v>1.5E9</v>
      </c>
      <c r="D2" s="3" t="s">
        <v>616</v>
      </c>
      <c r="E2" s="4"/>
      <c r="G2" s="5" t="s">
        <v>619</v>
      </c>
      <c r="H2" s="5" t="s">
        <v>620</v>
      </c>
    </row>
    <row r="3">
      <c r="A3" s="5" t="s">
        <v>622</v>
      </c>
      <c r="B3" s="12"/>
      <c r="D3" s="5" t="s">
        <v>624</v>
      </c>
      <c r="E3" s="5" t="s">
        <v>351</v>
      </c>
      <c r="G3" s="5" t="s">
        <v>625</v>
      </c>
      <c r="H3" s="5" t="s">
        <v>620</v>
      </c>
    </row>
    <row r="4">
      <c r="A4" s="5" t="s">
        <v>627</v>
      </c>
      <c r="B4" s="14">
        <v>1.5E9</v>
      </c>
      <c r="D4" s="5" t="s">
        <v>629</v>
      </c>
      <c r="E4" s="5" t="s">
        <v>351</v>
      </c>
      <c r="G4" s="5" t="s">
        <v>630</v>
      </c>
      <c r="H4" s="5" t="s">
        <v>620</v>
      </c>
    </row>
    <row r="5">
      <c r="A5" s="5" t="s">
        <v>632</v>
      </c>
      <c r="B5" s="14">
        <v>0.0</v>
      </c>
      <c r="D5" s="5" t="s">
        <v>633</v>
      </c>
      <c r="E5" s="5" t="s">
        <v>351</v>
      </c>
      <c r="G5" s="5" t="s">
        <v>635</v>
      </c>
      <c r="H5" s="5" t="s">
        <v>620</v>
      </c>
    </row>
    <row r="6">
      <c r="A6" s="5" t="s">
        <v>636</v>
      </c>
      <c r="B6" s="14">
        <v>0.0</v>
      </c>
      <c r="D6" s="5" t="s">
        <v>637</v>
      </c>
      <c r="E6" s="5" t="s">
        <v>351</v>
      </c>
      <c r="G6" s="5" t="s">
        <v>638</v>
      </c>
      <c r="H6" s="5" t="s">
        <v>620</v>
      </c>
    </row>
    <row r="7">
      <c r="A7" s="5" t="s">
        <v>639</v>
      </c>
      <c r="B7" s="14">
        <v>0.0</v>
      </c>
      <c r="D7" s="5" t="s">
        <v>640</v>
      </c>
      <c r="E7" s="5" t="s">
        <v>351</v>
      </c>
      <c r="G7" s="5" t="s">
        <v>641</v>
      </c>
      <c r="H7" s="5" t="s">
        <v>620</v>
      </c>
    </row>
    <row r="8">
      <c r="A8" s="5" t="s">
        <v>642</v>
      </c>
      <c r="B8" s="14">
        <v>0.0</v>
      </c>
      <c r="D8" s="5" t="s">
        <v>643</v>
      </c>
      <c r="E8" s="5" t="s">
        <v>644</v>
      </c>
      <c r="G8" s="5" t="s">
        <v>645</v>
      </c>
      <c r="H8" s="5" t="s">
        <v>620</v>
      </c>
    </row>
    <row r="9">
      <c r="A9" s="5" t="s">
        <v>646</v>
      </c>
      <c r="B9" s="14">
        <v>0.0</v>
      </c>
      <c r="D9" s="5" t="s">
        <v>647</v>
      </c>
      <c r="E9" s="5" t="s">
        <v>648</v>
      </c>
      <c r="G9" s="5" t="s">
        <v>649</v>
      </c>
      <c r="H9" s="5" t="s">
        <v>620</v>
      </c>
    </row>
    <row r="10">
      <c r="A10" s="5" t="s">
        <v>650</v>
      </c>
      <c r="B10" s="14">
        <v>0.0</v>
      </c>
      <c r="D10" s="5" t="s">
        <v>651</v>
      </c>
      <c r="E10" s="5" t="s">
        <v>644</v>
      </c>
      <c r="G10" s="5" t="s">
        <v>652</v>
      </c>
      <c r="H10" s="5" t="s">
        <v>620</v>
      </c>
    </row>
    <row r="11">
      <c r="A11" s="5" t="s">
        <v>653</v>
      </c>
      <c r="B11" s="14">
        <v>0.0</v>
      </c>
      <c r="D11" s="5" t="s">
        <v>654</v>
      </c>
      <c r="E11" s="5" t="s">
        <v>655</v>
      </c>
      <c r="G11" s="5" t="s">
        <v>656</v>
      </c>
      <c r="H11" s="5" t="s">
        <v>620</v>
      </c>
    </row>
    <row r="12">
      <c r="A12" s="5" t="s">
        <v>657</v>
      </c>
      <c r="B12" s="14">
        <v>0.0</v>
      </c>
      <c r="D12" s="5" t="s">
        <v>658</v>
      </c>
      <c r="E12" s="5" t="s">
        <v>659</v>
      </c>
      <c r="G12" s="5" t="s">
        <v>660</v>
      </c>
      <c r="H12" s="5" t="s">
        <v>620</v>
      </c>
    </row>
    <row r="13">
      <c r="A13" s="5" t="s">
        <v>661</v>
      </c>
      <c r="B13" s="14">
        <v>1.46E9</v>
      </c>
      <c r="D13" s="5" t="s">
        <v>662</v>
      </c>
      <c r="E13" s="5" t="s">
        <v>459</v>
      </c>
      <c r="G13" s="5" t="s">
        <v>663</v>
      </c>
      <c r="H13" s="5" t="s">
        <v>620</v>
      </c>
    </row>
    <row r="14">
      <c r="A14" s="5" t="s">
        <v>664</v>
      </c>
      <c r="B14" s="14">
        <v>4.0E7</v>
      </c>
      <c r="G14" s="5" t="s">
        <v>665</v>
      </c>
      <c r="H14" s="5" t="s">
        <v>620</v>
      </c>
    </row>
    <row r="15">
      <c r="D15" s="3" t="s">
        <v>666</v>
      </c>
      <c r="E15" s="4"/>
      <c r="G15" s="5" t="s">
        <v>667</v>
      </c>
      <c r="H15" s="5" t="s">
        <v>620</v>
      </c>
    </row>
    <row r="16">
      <c r="A16" s="3" t="s">
        <v>668</v>
      </c>
      <c r="B16" s="4"/>
      <c r="D16" s="5" t="s">
        <v>669</v>
      </c>
      <c r="E16" s="5">
        <v>1.0</v>
      </c>
      <c r="G16" s="5" t="s">
        <v>670</v>
      </c>
      <c r="H16" s="5" t="s">
        <v>620</v>
      </c>
    </row>
    <row r="17">
      <c r="A17" s="5" t="s">
        <v>671</v>
      </c>
      <c r="B17" s="5">
        <v>1.0</v>
      </c>
      <c r="D17" s="5" t="s">
        <v>672</v>
      </c>
      <c r="E17" s="5">
        <v>1.0</v>
      </c>
      <c r="G17" s="5" t="s">
        <v>673</v>
      </c>
      <c r="H17" s="5" t="s">
        <v>620</v>
      </c>
    </row>
    <row r="18">
      <c r="A18" s="5" t="s">
        <v>674</v>
      </c>
      <c r="B18" s="5" t="s">
        <v>675</v>
      </c>
      <c r="D18" s="5" t="s">
        <v>676</v>
      </c>
      <c r="E18" s="5">
        <v>1.0</v>
      </c>
    </row>
    <row r="19">
      <c r="A19" s="5" t="s">
        <v>677</v>
      </c>
      <c r="B19" s="5">
        <v>1.0</v>
      </c>
      <c r="D19" s="5" t="s">
        <v>678</v>
      </c>
      <c r="E19" s="5">
        <v>1.0</v>
      </c>
    </row>
    <row r="20">
      <c r="A20" s="5" t="s">
        <v>679</v>
      </c>
      <c r="B20" s="5">
        <v>1.0</v>
      </c>
      <c r="D20" s="5" t="s">
        <v>680</v>
      </c>
      <c r="E20" s="5" t="s">
        <v>359</v>
      </c>
    </row>
    <row r="21">
      <c r="A21" s="5" t="s">
        <v>681</v>
      </c>
      <c r="B21" s="5" t="s">
        <v>682</v>
      </c>
      <c r="D21" s="5" t="s">
        <v>683</v>
      </c>
      <c r="E21" s="5" t="s">
        <v>682</v>
      </c>
    </row>
    <row r="22">
      <c r="A22" s="5" t="s">
        <v>684</v>
      </c>
      <c r="B22" s="5" t="s">
        <v>273</v>
      </c>
      <c r="D22" s="5" t="s">
        <v>685</v>
      </c>
      <c r="E22" s="5" t="s">
        <v>682</v>
      </c>
    </row>
    <row r="23">
      <c r="A23" s="5" t="s">
        <v>686</v>
      </c>
      <c r="B23" s="5" t="s">
        <v>273</v>
      </c>
      <c r="D23" s="5" t="s">
        <v>687</v>
      </c>
      <c r="E23" s="5" t="s">
        <v>682</v>
      </c>
    </row>
    <row r="24">
      <c r="D24" s="5" t="s">
        <v>688</v>
      </c>
      <c r="E24" s="5" t="s">
        <v>682</v>
      </c>
    </row>
    <row r="25">
      <c r="A25" s="3" t="s">
        <v>689</v>
      </c>
      <c r="B25" s="4"/>
      <c r="D25" s="5" t="s">
        <v>690</v>
      </c>
      <c r="E25" s="5" t="s">
        <v>682</v>
      </c>
    </row>
    <row r="26">
      <c r="A26" s="3" t="s">
        <v>691</v>
      </c>
      <c r="B26" s="4"/>
      <c r="D26" s="5" t="s">
        <v>692</v>
      </c>
      <c r="E26" s="5" t="s">
        <v>682</v>
      </c>
    </row>
    <row r="27">
      <c r="A27" s="5" t="s">
        <v>693</v>
      </c>
      <c r="B27" s="5" t="s">
        <v>322</v>
      </c>
      <c r="D27" s="5" t="s">
        <v>662</v>
      </c>
      <c r="E27" s="5" t="s">
        <v>682</v>
      </c>
    </row>
    <row r="28">
      <c r="A28" s="5" t="s">
        <v>694</v>
      </c>
      <c r="B28" s="5" t="s">
        <v>695</v>
      </c>
      <c r="D28" s="5" t="s">
        <v>658</v>
      </c>
      <c r="E28" s="5" t="s">
        <v>682</v>
      </c>
    </row>
    <row r="29">
      <c r="A29" s="5" t="s">
        <v>696</v>
      </c>
      <c r="B29" s="15" t="s">
        <v>322</v>
      </c>
    </row>
    <row r="30">
      <c r="D30" s="3" t="s">
        <v>697</v>
      </c>
      <c r="E30" s="4"/>
    </row>
    <row r="31">
      <c r="A31" s="3" t="s">
        <v>698</v>
      </c>
      <c r="B31" s="4"/>
      <c r="D31" s="5" t="s">
        <v>699</v>
      </c>
      <c r="E31" s="5" t="s">
        <v>682</v>
      </c>
    </row>
    <row r="32">
      <c r="A32" s="16" t="s">
        <v>700</v>
      </c>
      <c r="B32" s="16" t="s">
        <v>333</v>
      </c>
      <c r="D32" s="5" t="s">
        <v>701</v>
      </c>
      <c r="E32" s="5" t="s">
        <v>682</v>
      </c>
    </row>
    <row r="33">
      <c r="A33" s="16" t="s">
        <v>702</v>
      </c>
      <c r="B33" s="16" t="s">
        <v>703</v>
      </c>
      <c r="D33" s="5" t="s">
        <v>704</v>
      </c>
      <c r="E33" s="5" t="s">
        <v>682</v>
      </c>
    </row>
    <row r="34">
      <c r="A34" s="16" t="s">
        <v>705</v>
      </c>
      <c r="B34" s="16" t="s">
        <v>706</v>
      </c>
      <c r="D34" s="5" t="s">
        <v>707</v>
      </c>
      <c r="E34" s="5" t="s">
        <v>682</v>
      </c>
    </row>
    <row r="35">
      <c r="A35" s="16" t="s">
        <v>708</v>
      </c>
      <c r="B35" s="16" t="s">
        <v>709</v>
      </c>
      <c r="D35" s="5" t="s">
        <v>710</v>
      </c>
      <c r="E35" s="5" t="s">
        <v>682</v>
      </c>
    </row>
    <row r="36">
      <c r="A36" s="16" t="s">
        <v>711</v>
      </c>
      <c r="B36" s="16" t="s">
        <v>712</v>
      </c>
      <c r="D36" s="5" t="s">
        <v>676</v>
      </c>
      <c r="E36" s="5" t="s">
        <v>682</v>
      </c>
    </row>
    <row r="37">
      <c r="A37" s="16" t="s">
        <v>713</v>
      </c>
      <c r="B37" s="16" t="s">
        <v>714</v>
      </c>
      <c r="D37" s="5" t="s">
        <v>715</v>
      </c>
      <c r="E37" s="5" t="s">
        <v>682</v>
      </c>
    </row>
    <row r="38">
      <c r="A38" s="16" t="s">
        <v>716</v>
      </c>
      <c r="B38" s="16" t="s">
        <v>322</v>
      </c>
      <c r="D38" s="5" t="s">
        <v>678</v>
      </c>
      <c r="E38" s="5" t="s">
        <v>682</v>
      </c>
    </row>
    <row r="39">
      <c r="A39" s="17" t="s">
        <v>717</v>
      </c>
      <c r="B39" s="17" t="s">
        <v>322</v>
      </c>
      <c r="D39" s="5" t="s">
        <v>718</v>
      </c>
      <c r="E39" s="5" t="s">
        <v>682</v>
      </c>
    </row>
    <row r="40">
      <c r="A40" s="17" t="s">
        <v>719</v>
      </c>
      <c r="B40" s="17" t="s">
        <v>322</v>
      </c>
      <c r="D40" s="5" t="s">
        <v>720</v>
      </c>
      <c r="E40" s="5" t="s">
        <v>682</v>
      </c>
    </row>
    <row r="41">
      <c r="A41" s="17" t="s">
        <v>721</v>
      </c>
      <c r="B41" s="17" t="s">
        <v>322</v>
      </c>
      <c r="D41" s="5" t="s">
        <v>722</v>
      </c>
      <c r="E41" s="5" t="s">
        <v>682</v>
      </c>
    </row>
    <row r="42">
      <c r="A42" s="17" t="s">
        <v>723</v>
      </c>
      <c r="B42" s="17" t="s">
        <v>712</v>
      </c>
      <c r="D42" s="5" t="s">
        <v>724</v>
      </c>
      <c r="E42" s="5" t="s">
        <v>682</v>
      </c>
    </row>
    <row r="43">
      <c r="A43" s="17" t="s">
        <v>725</v>
      </c>
      <c r="B43" s="17" t="s">
        <v>322</v>
      </c>
      <c r="D43" s="5" t="s">
        <v>726</v>
      </c>
      <c r="E43" s="5" t="s">
        <v>682</v>
      </c>
    </row>
    <row r="44">
      <c r="D44" s="5" t="s">
        <v>676</v>
      </c>
      <c r="E44" s="5" t="s">
        <v>682</v>
      </c>
    </row>
    <row r="45">
      <c r="D45" s="5" t="s">
        <v>727</v>
      </c>
      <c r="E45" s="5" t="s">
        <v>682</v>
      </c>
    </row>
    <row r="46">
      <c r="A46" s="3" t="s">
        <v>728</v>
      </c>
      <c r="B46" s="4"/>
      <c r="D46" s="5" t="s">
        <v>729</v>
      </c>
      <c r="E46" s="5" t="s">
        <v>682</v>
      </c>
    </row>
    <row r="47">
      <c r="A47" s="5" t="s">
        <v>730</v>
      </c>
      <c r="B47" s="12"/>
      <c r="D47" s="5" t="s">
        <v>731</v>
      </c>
      <c r="E47" s="5" t="s">
        <v>682</v>
      </c>
    </row>
    <row r="48">
      <c r="A48" s="5" t="s">
        <v>732</v>
      </c>
      <c r="B48" s="12"/>
      <c r="D48" s="5" t="s">
        <v>662</v>
      </c>
      <c r="E48" s="5" t="s">
        <v>273</v>
      </c>
    </row>
    <row r="49">
      <c r="A49" s="5" t="s">
        <v>733</v>
      </c>
      <c r="B49" s="12"/>
      <c r="D49" s="5" t="s">
        <v>734</v>
      </c>
      <c r="E49" s="5" t="s">
        <v>273</v>
      </c>
    </row>
    <row r="50">
      <c r="A50" s="5" t="s">
        <v>735</v>
      </c>
      <c r="B50" s="12"/>
    </row>
    <row r="51">
      <c r="A51" s="5" t="s">
        <v>736</v>
      </c>
      <c r="B51" s="12"/>
    </row>
    <row r="52">
      <c r="A52" s="5" t="s">
        <v>737</v>
      </c>
      <c r="B52" s="12"/>
    </row>
    <row r="53">
      <c r="A53" s="5" t="s">
        <v>738</v>
      </c>
      <c r="B53" s="12"/>
    </row>
    <row r="54">
      <c r="A54" s="5" t="s">
        <v>739</v>
      </c>
      <c r="B54" s="12"/>
    </row>
    <row r="55">
      <c r="A55" s="5" t="s">
        <v>740</v>
      </c>
      <c r="B55" s="12"/>
    </row>
    <row r="56">
      <c r="A56" s="5" t="s">
        <v>741</v>
      </c>
      <c r="B56" s="12"/>
    </row>
    <row r="57">
      <c r="A57" s="5" t="s">
        <v>742</v>
      </c>
      <c r="B57" s="12"/>
    </row>
    <row r="58">
      <c r="A58" s="5" t="s">
        <v>743</v>
      </c>
      <c r="B58" s="12"/>
    </row>
    <row r="59">
      <c r="A59" s="5" t="s">
        <v>744</v>
      </c>
      <c r="B59" s="12"/>
    </row>
    <row r="60">
      <c r="A60" s="5" t="s">
        <v>745</v>
      </c>
      <c r="B60" s="12"/>
    </row>
    <row r="61">
      <c r="A61" s="5" t="s">
        <v>746</v>
      </c>
      <c r="B61" s="12"/>
    </row>
    <row r="62">
      <c r="A62" s="5" t="s">
        <v>747</v>
      </c>
      <c r="B62" s="12"/>
    </row>
    <row r="63">
      <c r="A63" s="5" t="s">
        <v>748</v>
      </c>
      <c r="B63" s="12"/>
    </row>
    <row r="64">
      <c r="A64" s="5" t="s">
        <v>749</v>
      </c>
      <c r="B64" s="12"/>
    </row>
    <row r="65">
      <c r="A65" s="5" t="s">
        <v>750</v>
      </c>
      <c r="B65" s="12"/>
    </row>
    <row r="66">
      <c r="A66" s="5" t="s">
        <v>751</v>
      </c>
      <c r="B66" s="12"/>
    </row>
    <row r="67">
      <c r="A67" s="5" t="s">
        <v>752</v>
      </c>
      <c r="B67" s="12"/>
    </row>
    <row r="68">
      <c r="A68" s="5" t="s">
        <v>753</v>
      </c>
      <c r="B68" s="12"/>
    </row>
    <row r="70">
      <c r="A70" s="3" t="s">
        <v>754</v>
      </c>
      <c r="B70" s="4"/>
    </row>
    <row r="71">
      <c r="A71" s="5" t="s">
        <v>693</v>
      </c>
      <c r="B71" s="5" t="s">
        <v>370</v>
      </c>
    </row>
    <row r="72">
      <c r="A72" s="5" t="s">
        <v>755</v>
      </c>
      <c r="B72" s="15" t="s">
        <v>370</v>
      </c>
    </row>
    <row r="73">
      <c r="A73" s="5" t="s">
        <v>756</v>
      </c>
      <c r="B73" s="15" t="s">
        <v>370</v>
      </c>
    </row>
    <row r="74">
      <c r="A74" s="5" t="s">
        <v>757</v>
      </c>
      <c r="B74" s="15" t="s">
        <v>370</v>
      </c>
    </row>
    <row r="75">
      <c r="A75" s="5" t="s">
        <v>758</v>
      </c>
      <c r="B75" s="15" t="s">
        <v>370</v>
      </c>
    </row>
    <row r="76">
      <c r="A76" s="5" t="s">
        <v>759</v>
      </c>
      <c r="B76" s="15" t="s">
        <v>370</v>
      </c>
    </row>
    <row r="78">
      <c r="A78" s="3" t="s">
        <v>760</v>
      </c>
      <c r="B78" s="4"/>
    </row>
    <row r="79">
      <c r="A79" s="5" t="s">
        <v>761</v>
      </c>
      <c r="B79" s="5" t="s">
        <v>370</v>
      </c>
    </row>
    <row r="80">
      <c r="A80" s="5" t="s">
        <v>762</v>
      </c>
      <c r="B80" s="5" t="s">
        <v>370</v>
      </c>
    </row>
    <row r="81">
      <c r="A81" s="5" t="s">
        <v>763</v>
      </c>
      <c r="B81" s="5" t="s">
        <v>370</v>
      </c>
    </row>
    <row r="82">
      <c r="A82" s="5" t="s">
        <v>764</v>
      </c>
      <c r="B82" s="5" t="s">
        <v>370</v>
      </c>
    </row>
    <row r="83">
      <c r="A83" s="5" t="s">
        <v>711</v>
      </c>
      <c r="B83" s="5" t="s">
        <v>370</v>
      </c>
    </row>
    <row r="84">
      <c r="A84" s="5" t="s">
        <v>765</v>
      </c>
      <c r="B84" s="5" t="s">
        <v>370</v>
      </c>
    </row>
    <row r="86">
      <c r="A86" s="3" t="s">
        <v>766</v>
      </c>
      <c r="B86" s="4"/>
    </row>
    <row r="87">
      <c r="A87" s="5" t="s">
        <v>767</v>
      </c>
      <c r="B87" s="15" t="s">
        <v>370</v>
      </c>
    </row>
    <row r="88">
      <c r="A88" s="5" t="s">
        <v>768</v>
      </c>
      <c r="B88" s="15" t="s">
        <v>370</v>
      </c>
    </row>
    <row r="89">
      <c r="A89" s="5" t="s">
        <v>769</v>
      </c>
      <c r="B89" s="15" t="s">
        <v>370</v>
      </c>
    </row>
    <row r="90">
      <c r="A90" s="5" t="s">
        <v>770</v>
      </c>
      <c r="B90" s="15" t="s">
        <v>370</v>
      </c>
    </row>
    <row r="91">
      <c r="A91" s="5" t="s">
        <v>771</v>
      </c>
      <c r="B91" s="15" t="s">
        <v>370</v>
      </c>
    </row>
    <row r="92">
      <c r="A92" s="5" t="s">
        <v>767</v>
      </c>
      <c r="B92" s="15" t="s">
        <v>370</v>
      </c>
    </row>
    <row r="94">
      <c r="A94" s="3" t="s">
        <v>772</v>
      </c>
      <c r="B94" s="4"/>
    </row>
    <row r="95">
      <c r="A95" s="5" t="s">
        <v>773</v>
      </c>
      <c r="B95" s="15" t="s">
        <v>370</v>
      </c>
    </row>
    <row r="96">
      <c r="A96" s="5" t="s">
        <v>774</v>
      </c>
      <c r="B96" s="15" t="s">
        <v>370</v>
      </c>
    </row>
    <row r="97">
      <c r="A97" s="5" t="s">
        <v>775</v>
      </c>
      <c r="B97" s="5" t="s">
        <v>370</v>
      </c>
    </row>
    <row r="98">
      <c r="A98" s="5" t="s">
        <v>776</v>
      </c>
      <c r="B98" s="5" t="s">
        <v>370</v>
      </c>
    </row>
    <row r="99">
      <c r="A99" s="5" t="s">
        <v>777</v>
      </c>
      <c r="B99" s="5" t="s">
        <v>370</v>
      </c>
    </row>
    <row r="100">
      <c r="A100" s="5" t="s">
        <v>778</v>
      </c>
      <c r="B100" s="5" t="s">
        <v>370</v>
      </c>
    </row>
    <row r="101">
      <c r="A101" s="5" t="s">
        <v>755</v>
      </c>
      <c r="B101" s="5" t="s">
        <v>370</v>
      </c>
    </row>
  </sheetData>
  <mergeCells count="15">
    <mergeCell ref="A26:B26"/>
    <mergeCell ref="D30:E30"/>
    <mergeCell ref="A31:B31"/>
    <mergeCell ref="A46:B46"/>
    <mergeCell ref="A70:B70"/>
    <mergeCell ref="A78:B78"/>
    <mergeCell ref="A86:B86"/>
    <mergeCell ref="A94:B94"/>
    <mergeCell ref="A1:B1"/>
    <mergeCell ref="D1:E1"/>
    <mergeCell ref="G1:H1"/>
    <mergeCell ref="D2:E2"/>
    <mergeCell ref="D15:E15"/>
    <mergeCell ref="A16:B16"/>
    <mergeCell ref="A25:B2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4"/>
      <c r="F1" s="5" t="s">
        <v>22</v>
      </c>
      <c r="G1" s="5">
        <v>147.0</v>
      </c>
      <c r="K1" s="18" t="s">
        <v>779</v>
      </c>
      <c r="L1" s="18" t="s">
        <v>780</v>
      </c>
      <c r="P1" s="19" t="s">
        <v>781</v>
      </c>
      <c r="Q1" s="2"/>
      <c r="R1" s="2"/>
      <c r="S1" s="4"/>
      <c r="V1" s="19" t="s">
        <v>782</v>
      </c>
      <c r="W1" s="2"/>
      <c r="X1" s="2"/>
      <c r="Y1" s="4"/>
    </row>
    <row r="2">
      <c r="A2" s="6" t="s">
        <v>18</v>
      </c>
      <c r="B2" s="1" t="s">
        <v>57</v>
      </c>
      <c r="C2" s="4"/>
      <c r="F2" s="5" t="s">
        <v>30</v>
      </c>
      <c r="G2" s="5">
        <v>820.0</v>
      </c>
      <c r="K2" s="20" t="s">
        <v>783</v>
      </c>
      <c r="L2" s="21">
        <v>18511.0</v>
      </c>
      <c r="P2" s="18" t="s">
        <v>784</v>
      </c>
      <c r="Q2" s="18" t="s">
        <v>780</v>
      </c>
      <c r="V2" s="18" t="s">
        <v>785</v>
      </c>
      <c r="W2" s="18" t="s">
        <v>786</v>
      </c>
      <c r="X2" s="18" t="s">
        <v>787</v>
      </c>
      <c r="Y2" s="18" t="s">
        <v>788</v>
      </c>
    </row>
    <row r="3">
      <c r="A3" s="9"/>
      <c r="B3" s="8" t="s">
        <v>112</v>
      </c>
      <c r="C3" s="8" t="s">
        <v>114</v>
      </c>
      <c r="F3" s="5" t="s">
        <v>39</v>
      </c>
      <c r="G3" s="10">
        <v>5934.0</v>
      </c>
      <c r="K3" s="20" t="s">
        <v>789</v>
      </c>
      <c r="L3" s="21">
        <v>3809.0</v>
      </c>
      <c r="P3" s="20" t="s">
        <v>790</v>
      </c>
      <c r="Q3" s="21">
        <v>27343.0</v>
      </c>
      <c r="V3" s="22" t="s">
        <v>791</v>
      </c>
      <c r="W3" s="23">
        <v>2190.0</v>
      </c>
      <c r="X3" s="23">
        <v>1999.0</v>
      </c>
      <c r="Y3" s="23">
        <f t="shared" ref="Y3:Y18" si="1">W3+X3</f>
        <v>4189</v>
      </c>
    </row>
    <row r="4">
      <c r="A4" s="5" t="s">
        <v>116</v>
      </c>
      <c r="B4" s="5" t="s">
        <v>125</v>
      </c>
      <c r="C4" s="5" t="s">
        <v>135</v>
      </c>
      <c r="F4" s="5" t="s">
        <v>47</v>
      </c>
      <c r="G4" s="10">
        <v>4245.0</v>
      </c>
      <c r="K4" s="20" t="s">
        <v>792</v>
      </c>
      <c r="L4" s="21">
        <v>6225.0</v>
      </c>
      <c r="P4" s="20" t="s">
        <v>793</v>
      </c>
      <c r="Q4" s="21">
        <v>22921.0</v>
      </c>
      <c r="V4" s="22" t="s">
        <v>794</v>
      </c>
      <c r="W4" s="23">
        <v>2746.0</v>
      </c>
      <c r="X4" s="23">
        <v>2594.0</v>
      </c>
      <c r="Y4" s="23">
        <f t="shared" si="1"/>
        <v>5340</v>
      </c>
    </row>
    <row r="5">
      <c r="A5" s="5" t="s">
        <v>137</v>
      </c>
      <c r="B5" s="5" t="s">
        <v>142</v>
      </c>
      <c r="C5" s="5" t="s">
        <v>143</v>
      </c>
      <c r="F5" s="5" t="s">
        <v>58</v>
      </c>
      <c r="G5" s="10">
        <v>4199.0</v>
      </c>
      <c r="K5" s="20" t="s">
        <v>795</v>
      </c>
      <c r="L5" s="21">
        <v>5793.0</v>
      </c>
      <c r="P5" s="20" t="s">
        <v>796</v>
      </c>
      <c r="Q5" s="21">
        <v>1253.0</v>
      </c>
      <c r="V5" s="22" t="s">
        <v>797</v>
      </c>
      <c r="W5" s="23">
        <v>2612.0</v>
      </c>
      <c r="X5" s="23">
        <v>2467.0</v>
      </c>
      <c r="Y5" s="23">
        <f t="shared" si="1"/>
        <v>5079</v>
      </c>
    </row>
    <row r="6">
      <c r="A6" s="5" t="s">
        <v>144</v>
      </c>
      <c r="B6" s="5" t="s">
        <v>156</v>
      </c>
      <c r="C6" s="5" t="s">
        <v>157</v>
      </c>
      <c r="F6" s="5" t="s">
        <v>69</v>
      </c>
      <c r="G6" s="10">
        <v>15345.0</v>
      </c>
      <c r="K6" s="20" t="s">
        <v>798</v>
      </c>
      <c r="L6" s="21">
        <v>14765.0</v>
      </c>
      <c r="P6" s="20" t="s">
        <v>799</v>
      </c>
      <c r="Q6" s="21">
        <v>1581.0</v>
      </c>
      <c r="V6" s="22" t="s">
        <v>800</v>
      </c>
      <c r="W6" s="23">
        <v>2351.0</v>
      </c>
      <c r="X6" s="23">
        <v>2076.0</v>
      </c>
      <c r="Y6" s="23">
        <f t="shared" si="1"/>
        <v>4427</v>
      </c>
    </row>
    <row r="7">
      <c r="K7" s="20" t="s">
        <v>801</v>
      </c>
      <c r="L7" s="21">
        <v>120.0</v>
      </c>
      <c r="P7" s="24" t="s">
        <v>802</v>
      </c>
      <c r="Q7" s="21">
        <v>53098.0</v>
      </c>
      <c r="V7" s="22" t="s">
        <v>803</v>
      </c>
      <c r="W7" s="23">
        <v>2377.0</v>
      </c>
      <c r="X7" s="23">
        <v>2011.0</v>
      </c>
      <c r="Y7" s="23">
        <f t="shared" si="1"/>
        <v>4388</v>
      </c>
    </row>
    <row r="8">
      <c r="A8" s="25" t="s">
        <v>112</v>
      </c>
      <c r="B8" s="25">
        <v>27310.0</v>
      </c>
      <c r="K8" s="20" t="s">
        <v>804</v>
      </c>
      <c r="L8" s="21">
        <v>1109.0</v>
      </c>
      <c r="V8" s="22" t="s">
        <v>805</v>
      </c>
      <c r="W8" s="23">
        <v>2371.0</v>
      </c>
      <c r="X8" s="23">
        <v>2187.0</v>
      </c>
      <c r="Y8" s="23">
        <f t="shared" si="1"/>
        <v>4558</v>
      </c>
    </row>
    <row r="9">
      <c r="A9" s="25" t="s">
        <v>114</v>
      </c>
      <c r="B9" s="25">
        <v>25788.0</v>
      </c>
      <c r="K9" s="20" t="s">
        <v>806</v>
      </c>
      <c r="L9" s="21">
        <v>2666.0</v>
      </c>
      <c r="V9" s="22" t="s">
        <v>807</v>
      </c>
      <c r="W9" s="23">
        <v>2149.0</v>
      </c>
      <c r="X9" s="23">
        <v>2307.0</v>
      </c>
      <c r="Y9" s="23">
        <f t="shared" si="1"/>
        <v>4456</v>
      </c>
    </row>
    <row r="10">
      <c r="K10" s="20" t="s">
        <v>808</v>
      </c>
      <c r="L10" s="21">
        <v>100.0</v>
      </c>
      <c r="V10" s="22" t="s">
        <v>809</v>
      </c>
      <c r="W10" s="23">
        <v>2199.0</v>
      </c>
      <c r="X10" s="23">
        <v>2135.0</v>
      </c>
      <c r="Y10" s="23">
        <f t="shared" si="1"/>
        <v>4334</v>
      </c>
    </row>
    <row r="11">
      <c r="K11" s="20" t="s">
        <v>810</v>
      </c>
      <c r="L11" s="21">
        <v>0.0</v>
      </c>
      <c r="V11" s="22" t="s">
        <v>811</v>
      </c>
      <c r="W11" s="23">
        <v>2216.0</v>
      </c>
      <c r="X11" s="23">
        <v>2132.0</v>
      </c>
      <c r="Y11" s="23">
        <f t="shared" si="1"/>
        <v>4348</v>
      </c>
    </row>
    <row r="12">
      <c r="K12" s="24" t="s">
        <v>802</v>
      </c>
      <c r="L12" s="21">
        <f>L2+L3+L4+L5+L6+L7+L8+L9+L10+L11</f>
        <v>53098</v>
      </c>
      <c r="V12" s="22" t="s">
        <v>812</v>
      </c>
      <c r="W12" s="23">
        <v>1912.0</v>
      </c>
      <c r="X12" s="23">
        <v>1770.0</v>
      </c>
      <c r="Y12" s="23">
        <f t="shared" si="1"/>
        <v>3682</v>
      </c>
    </row>
    <row r="13">
      <c r="V13" s="22" t="s">
        <v>813</v>
      </c>
      <c r="W13" s="23">
        <v>1451.0</v>
      </c>
      <c r="X13" s="23">
        <v>1419.0</v>
      </c>
      <c r="Y13" s="23">
        <f t="shared" si="1"/>
        <v>2870</v>
      </c>
    </row>
    <row r="14">
      <c r="V14" s="22" t="s">
        <v>814</v>
      </c>
      <c r="W14" s="23">
        <v>1085.0</v>
      </c>
      <c r="X14" s="23">
        <v>1058.0</v>
      </c>
      <c r="Y14" s="23">
        <f t="shared" si="1"/>
        <v>2143</v>
      </c>
    </row>
    <row r="15">
      <c r="V15" s="22" t="s">
        <v>815</v>
      </c>
      <c r="W15" s="23">
        <v>759.0</v>
      </c>
      <c r="X15" s="23">
        <v>755.0</v>
      </c>
      <c r="Y15" s="23">
        <f t="shared" si="1"/>
        <v>1514</v>
      </c>
    </row>
    <row r="16">
      <c r="V16" s="22" t="s">
        <v>816</v>
      </c>
      <c r="W16" s="23">
        <v>478.0</v>
      </c>
      <c r="X16" s="23">
        <v>470.0</v>
      </c>
      <c r="Y16" s="23">
        <f t="shared" si="1"/>
        <v>948</v>
      </c>
    </row>
    <row r="17">
      <c r="V17" s="22" t="s">
        <v>817</v>
      </c>
      <c r="W17" s="23">
        <v>247.0</v>
      </c>
      <c r="X17" s="23">
        <v>232.0</v>
      </c>
      <c r="Y17" s="23">
        <f t="shared" si="1"/>
        <v>479</v>
      </c>
    </row>
    <row r="18">
      <c r="V18" s="22" t="s">
        <v>818</v>
      </c>
      <c r="W18" s="23">
        <v>167.0</v>
      </c>
      <c r="X18" s="23">
        <v>176.0</v>
      </c>
      <c r="Y18" s="23">
        <f t="shared" si="1"/>
        <v>343</v>
      </c>
    </row>
  </sheetData>
  <mergeCells count="5">
    <mergeCell ref="A1:C1"/>
    <mergeCell ref="P1:S1"/>
    <mergeCell ref="V1:Y1"/>
    <mergeCell ref="A2:A3"/>
    <mergeCell ref="B2:C2"/>
  </mergeCells>
  <drawing r:id="rId1"/>
</worksheet>
</file>